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選択肢" sheetId="2" state="hidden" r:id="rId2"/>
    <sheet name="eラーニング・動画" sheetId="3" state="visible" r:id="rId3"/>
    <sheet name="広告" sheetId="4" state="visible" r:id="rId4"/>
    <sheet name="凡例と出典" sheetId="5" state="visible" r:id="rId5"/>
  </sheets>
  <definedNames>
    <definedName name="_xlnm._FilterDatabase" localSheetId="0" hidden="1">'LP'!$A$5:$P$16</definedName>
    <definedName name="_xlnm._FilterDatabase" localSheetId="2" hidden="1">'eラーニング・動画'!$A$5:$I$21</definedName>
    <definedName name="_xlnm._FilterDatabase" localSheetId="3" hidden="1">'広告'!$A$5:$I$10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／4段&quot;"/>
    <numFmt numFmtId="165" formatCode="0&quot;／11&quot;"/>
    <numFmt numFmtId="166" formatCode="0.0&quot;／4段&quot;"/>
  </numFmts>
  <fonts count="18">
    <font>
      <name val="Calibri"/>
      <family val="2"/>
      <color theme="1"/>
      <sz val="11"/>
      <scheme val="minor"/>
    </font>
    <font>
      <name val="Meiryo"/>
      <b val="1"/>
      <sz val="9"/>
    </font>
    <font>
      <name val="Meiryo"/>
      <sz val="9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1F4E6B"/>
      <sz val="9"/>
      <u val="single"/>
    </font>
    <font>
      <name val="Meiryo"/>
      <color rgb="001B2330"/>
      <sz val="9"/>
    </font>
    <font>
      <name val="Meiryo"/>
      <b val="1"/>
      <color rgb="001C6647"/>
      <sz val="9"/>
    </font>
    <font>
      <name val="Meiryo"/>
      <color rgb="000000FF"/>
      <sz val="9"/>
    </font>
    <font>
      <name val="Meiryo"/>
      <b val="1"/>
      <color rgb="006E747D"/>
      <sz val="9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1F4E6B"/>
      <sz val="11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6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FFF3C4"/>
      </patternFill>
    </fill>
    <fill>
      <patternFill patternType="solid">
        <fgColor rgb="00FAF8F3"/>
      </patternFill>
    </fill>
    <fill>
      <patternFill patternType="solid">
        <fgColor rgb="00EAF1F6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right"/>
    </xf>
    <xf numFmtId="165" fontId="13" fillId="0" borderId="2" applyAlignment="1" pivotButton="0" quotePrefix="0" xfId="0">
      <alignment horizontal="center"/>
    </xf>
    <xf numFmtId="166" fontId="13" fillId="0" borderId="2" applyAlignment="1" pivotButton="0" quotePrefix="0" xfId="0">
      <alignment horizontal="center"/>
    </xf>
    <xf numFmtId="0" fontId="13" fillId="0" borderId="2" pivotButton="0" quotePrefix="0" xfId="0"/>
    <xf numFmtId="0" fontId="1" fillId="0" borderId="0" pivotButton="0" quotePrefix="0" xfId="0"/>
    <xf numFmtId="9" fontId="2" fillId="0" borderId="0" pivotButton="0" quotePrefix="0" xfId="0"/>
    <xf numFmtId="9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9" fontId="13" fillId="0" borderId="2" applyAlignment="1" pivotButton="0" quotePrefix="0" xfId="0">
      <alignment horizontal="center"/>
    </xf>
    <xf numFmtId="0" fontId="15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2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J6" authorId="0" shapeId="0">
      <text>
        <t>公開した本番LPのURLをここに貼ってください。
入力すると④本番公開が○になり、到達度が上がります。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H6" authorId="0" shapeId="0">
      <text>
        <t>できあがったものの URL を貼ってください。
動画なら公開URL、広告なら入稿先やアカウントのURL。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H6" authorId="0" shapeId="0">
      <text>
        <t>できあがったものの URL を貼ってください。
動画なら公開URL、広告なら入稿先やアカウントのURL。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b41aa6c8-3939-483e-9cf4-c92b3290ec3c" TargetMode="External" Id="rId1" /><Relationship Type="http://schemas.openxmlformats.org/officeDocument/2006/relationships/hyperlink" Target="https://claude.ai/code/artifact/08b479a1-0803-4978-989b-dfbb853c3e95" TargetMode="External" Id="rId2" /><Relationship Type="http://schemas.openxmlformats.org/officeDocument/2006/relationships/hyperlink" Target="https://claude.ai/code/artifact/4e88d497-2710-4ece-9972-60aabc2da022" TargetMode="External" Id="rId3" /><Relationship Type="http://schemas.openxmlformats.org/officeDocument/2006/relationships/hyperlink" Target="https://claude.ai/code/artifact/c5af6a39-a1ec-47e7-a2dd-652458d7fd69" TargetMode="External" Id="rId4" /><Relationship Type="http://schemas.openxmlformats.org/officeDocument/2006/relationships/hyperlink" Target="https://claude.ai/code/artifact/7355f424-d6c3-47fb-88a4-a9cfc890f07e" TargetMode="External" Id="rId5" /><Relationship Type="http://schemas.openxmlformats.org/officeDocument/2006/relationships/hyperlink" Target="https://claude.ai/code/artifact/ded9a489-7357-4ed8-80a0-e012da4aaec4" TargetMode="External" Id="rId6" /><Relationship Type="http://schemas.openxmlformats.org/officeDocument/2006/relationships/hyperlink" Target="https://claude.ai/code/artifact/4ce48691-4c9a-46fb-bbd2-e375366bc5ab" TargetMode="External" Id="rId7" /><Relationship Type="http://schemas.openxmlformats.org/officeDocument/2006/relationships/hyperlink" Target="https://claude.ai/code/artifact/a631f99f-f0e8-4bc0-8f78-67f01132ed31" TargetMode="External" Id="rId8" /><Relationship Type="http://schemas.openxmlformats.org/officeDocument/2006/relationships/hyperlink" Target="https://claude.ai/code/artifact/b0f16478-7326-4826-88ce-4aa0230fbcae" TargetMode="External" Id="rId9" /><Relationship Type="http://schemas.openxmlformats.org/officeDocument/2006/relationships/hyperlink" Target="https://claude.ai/code/artifact/00bc4beb-3bef-4d45-a94b-90c693a3c746" TargetMode="External" Id="rId10" /><Relationship Type="http://schemas.openxmlformats.org/officeDocument/2006/relationships/hyperlink" Target="https://claude.ai/code/artifact/5d670aad-cdef-49f7-bf67-38b65e8c396e" TargetMode="External" Id="rId11" /><Relationship Type="http://schemas.openxmlformats.org/officeDocument/2006/relationships/hyperlink" Target="https://claude.ai/code/artifact/7f212d2f-1999-4a55-ba64-865fbcc1b6bf" TargetMode="External" Id="rId12" /><Relationship Type="http://schemas.openxmlformats.org/officeDocument/2006/relationships/hyperlink" Target="https://claude.ai/code/artifact/db82fc95-4c62-4b83-b22c-e7cee86bc870" TargetMode="External" Id="rId13" /><Relationship Type="http://schemas.openxmlformats.org/officeDocument/2006/relationships/hyperlink" Target="https://claude.ai/code/artifact/32b51fff-748e-4fb3-a257-99531381bd35" TargetMode="External" Id="rId14" /><Relationship Type="http://schemas.openxmlformats.org/officeDocument/2006/relationships/hyperlink" Target="https://claude.ai/code/artifact/cb3eacf9-1c9d-4722-a6d0-a599ed2fe3f5" TargetMode="External" Id="rId15" /><Relationship Type="http://schemas.openxmlformats.org/officeDocument/2006/relationships/hyperlink" Target="https://claude.ai/code/artifact/65b43069-9f73-4f01-881f-70c31cd5cc30" TargetMode="External" Id="rId16" /><Relationship Type="http://schemas.openxmlformats.org/officeDocument/2006/relationships/hyperlink" Target="https://claude.ai/code/artifact/dec5629a-75b7-4a8d-ba24-a6e1b428c0d3" TargetMode="External" Id="rId17" /><Relationship Type="http://schemas.openxmlformats.org/officeDocument/2006/relationships/hyperlink" Target="https://claude.ai/code/artifact/0d2281f1-4a5f-4592-a013-1b5710b515b4" TargetMode="External" Id="rId18" /><Relationship Type="http://schemas.openxmlformats.org/officeDocument/2006/relationships/hyperlink" Target="https://claude.ai/code/artifact/1a259364-2cf9-4098-b864-bde6880ad6bf" TargetMode="External" Id="rId19" /><Relationship Type="http://schemas.openxmlformats.org/officeDocument/2006/relationships/hyperlink" Target="https://claude.ai/code/artifact/dec5629a-75b7-4a8d-ba24-a6e1b428c0d3" TargetMode="External" Id="rId20" /><Relationship Type="http://schemas.openxmlformats.org/officeDocument/2006/relationships/hyperlink" Target="https://claude.ai/code/artifact/0d2281f1-4a5f-4592-a013-1b5710b515b4" TargetMode="External" Id="rId21" /><Relationship Type="http://schemas.openxmlformats.org/officeDocument/2006/relationships/hyperlink" Target="https://claude.ai/code/artifact/39f0d878-53ee-4d73-9625-e9ce060b7aa8" TargetMode="External" Id="rId22" /><Relationship Type="http://schemas.openxmlformats.org/officeDocument/2006/relationships/hyperlink" Target="https://claude.ai/code/artifact/d5160792-9b05-48a1-aa52-e88cff874321" TargetMode="External" Id="rId2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30" customWidth="1" min="3" max="3"/>
    <col width="32" customWidth="1" min="4" max="4"/>
    <col width="13" customWidth="1" min="5" max="5"/>
    <col width="12" customWidth="1" min="6" max="6"/>
    <col width="14" customWidth="1" min="7" max="7"/>
    <col width="11" customWidth="1" min="8" max="8"/>
    <col width="10" customWidth="1" min="9" max="9"/>
    <col width="34" customWidth="1" min="10" max="10"/>
    <col width="52" customWidth="1" min="11" max="11"/>
    <col width="26" customWidth="1" min="12" max="12"/>
    <col width="26" customWidth="1" min="13" max="13"/>
    <col width="26" customWidth="1" min="14" max="14"/>
    <col width="10" customWidth="1" min="15" max="15"/>
    <col width="11" customWidth="1" min="16" max="16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黄色のJ列だけ記入してください。URLを入れると④本番公開と到達度が自動で変わります。</t>
        </is>
      </c>
    </row>
    <row r="5" ht="34" customHeight="1">
      <c r="A5" s="4" t="inlineStr">
        <is>
          <t>案件</t>
        </is>
      </c>
      <c r="B5" s="4" t="inlineStr">
        <is>
          <t>状態</t>
        </is>
      </c>
      <c r="C5" s="4" t="inlineStr">
        <is>
          <t>LP名</t>
        </is>
      </c>
      <c r="D5" s="4" t="inlineStr">
        <is>
          <t>デザインの方向</t>
        </is>
      </c>
      <c r="E5" s="4" t="inlineStr">
        <is>
          <t>①原稿・デザイン</t>
        </is>
      </c>
      <c r="F5" s="4" t="inlineStr">
        <is>
          <t>②付随ページ</t>
        </is>
      </c>
      <c r="G5" s="4" t="inlineStr">
        <is>
          <t>③問い合わせ導線</t>
        </is>
      </c>
      <c r="H5" s="4" t="inlineStr">
        <is>
          <t>④本番公開</t>
        </is>
      </c>
      <c r="I5" s="4" t="inlineStr">
        <is>
          <t>到達度</t>
        </is>
      </c>
      <c r="J5" s="4" t="inlineStr">
        <is>
          <t>本番URL（記入欄）</t>
        </is>
      </c>
      <c r="K5" s="4" t="inlineStr">
        <is>
          <t>残っていること</t>
        </is>
      </c>
      <c r="L5" s="4" t="inlineStr">
        <is>
          <t>資料請求ページ</t>
        </is>
      </c>
      <c r="M5" s="4" t="inlineStr">
        <is>
          <t>会社概要ページ</t>
        </is>
      </c>
      <c r="N5" s="4" t="inlineStr">
        <is>
          <t>LPプレビュー</t>
        </is>
      </c>
      <c r="O5" s="4" t="inlineStr">
        <is>
          <t>ID</t>
        </is>
      </c>
      <c r="P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現行</t>
        </is>
      </c>
      <c r="C6" s="5" t="inlineStr">
        <is>
          <t>会社が、社員の人生を守る時代へ。</t>
        </is>
      </c>
      <c r="D6" s="5" t="inlineStr">
        <is>
          <t>深緑 × 和モダン／昭和と令和の対比</t>
        </is>
      </c>
      <c r="E6" s="7" t="inlineStr">
        <is>
          <t>○</t>
        </is>
      </c>
      <c r="F6" s="7" t="inlineStr">
        <is>
          <t>○</t>
        </is>
      </c>
      <c r="G6" s="7" t="inlineStr">
        <is>
          <t>△</t>
        </is>
      </c>
      <c r="H6" s="8">
        <f>IF(J6="","×","○")</f>
        <v/>
      </c>
      <c r="I6" s="9">
        <f>COUNTIF(E6:H6,"○")+COUNTIF(E6:H6,"△")</f>
        <v/>
      </c>
      <c r="J6" s="10" t="n"/>
      <c r="K6" s="5" t="inlineStr">
        <is>
          <t>送信ボタンがメーラーを開くだけ。受付フォームの実装が必要／会社概要ページが未作成／本番ドメインへの公開</t>
        </is>
      </c>
      <c r="L6" s="11" t="inlineStr">
        <is>
          <t>資料請求を開く</t>
        </is>
      </c>
      <c r="M6" s="12" t="inlineStr">
        <is>
          <t>未作成</t>
        </is>
      </c>
      <c r="N6" s="11" t="inlineStr">
        <is>
          <t>LPを開く</t>
        </is>
      </c>
      <c r="O6" s="13" t="inlineStr">
        <is>
          <t>08b479a1</t>
        </is>
      </c>
      <c r="P6" s="8" t="inlineStr">
        <is>
          <t>2026-09-03</t>
        </is>
      </c>
    </row>
    <row r="7" ht="46" customHeight="1">
      <c r="A7" s="14" t="inlineStr">
        <is>
          <t>REALIZE CLUB（法人向け）</t>
        </is>
      </c>
      <c r="B7" s="15" t="inlineStr">
        <is>
          <t>別案</t>
        </is>
      </c>
      <c r="C7" s="14" t="inlineStr">
        <is>
          <t>会社が社員の人生を支える時代へ</t>
        </is>
      </c>
      <c r="D7" s="14" t="inlineStr">
        <is>
          <t>星空タウン／クリーム × 濃紺のイラスト</t>
        </is>
      </c>
      <c r="E7" s="7" t="inlineStr">
        <is>
          <t>○</t>
        </is>
      </c>
      <c r="F7" s="7" t="inlineStr">
        <is>
          <t>○</t>
        </is>
      </c>
      <c r="G7" s="7" t="inlineStr">
        <is>
          <t>△</t>
        </is>
      </c>
      <c r="H7" s="16">
        <f>IF(J7="","×","○")</f>
        <v/>
      </c>
      <c r="I7" s="17">
        <f>COUNTIF(E7:H7,"○")+COUNTIF(E7:H7,"△")</f>
        <v/>
      </c>
      <c r="J7" s="10" t="n"/>
      <c r="K7" s="14" t="inlineStr">
        <is>
          <t>RC案で唯一3ページ揃い。採用するかの判断／送信はメーラー起動のみ</t>
        </is>
      </c>
      <c r="L7" s="18" t="inlineStr">
        <is>
          <t>資料請求を開く</t>
        </is>
      </c>
      <c r="M7" s="18" t="inlineStr">
        <is>
          <t>会社概要を開く</t>
        </is>
      </c>
      <c r="N7" s="18" t="inlineStr">
        <is>
          <t>LPを開く</t>
        </is>
      </c>
      <c r="O7" s="19" t="inlineStr">
        <is>
          <t>7355f424</t>
        </is>
      </c>
      <c r="P7" s="16" t="inlineStr">
        <is>
          <t>2026-08-31</t>
        </is>
      </c>
    </row>
    <row r="8" ht="46" customHeight="1">
      <c r="A8" s="5" t="inlineStr">
        <is>
          <t>REALIZE CLUB（法人向け）</t>
        </is>
      </c>
      <c r="B8" s="20" t="inlineStr">
        <is>
          <t>別案</t>
        </is>
      </c>
      <c r="C8" s="5" t="inlineStr">
        <is>
          <t>困る前に、灯す。</t>
        </is>
      </c>
      <c r="D8" s="5" t="inlineStr">
        <is>
          <t>漆黒 × 炎のグラデーション</t>
        </is>
      </c>
      <c r="E8" s="7" t="inlineStr">
        <is>
          <t>○</t>
        </is>
      </c>
      <c r="F8" s="7" t="inlineStr">
        <is>
          <t>△</t>
        </is>
      </c>
      <c r="G8" s="7" t="inlineStr">
        <is>
          <t>×</t>
        </is>
      </c>
      <c r="H8" s="8">
        <f>IF(J8="","×","○")</f>
        <v/>
      </c>
      <c r="I8" s="9">
        <f>COUNTIF(E8:H8,"○")+COUNTIF(E8:H8,"△")</f>
        <v/>
      </c>
      <c r="J8" s="10" t="n"/>
      <c r="K8" s="5" t="inlineStr">
        <is>
          <t>kaisha.html ほかへの相対リンクが残り、単体では飛べない／会社概要ページの作成</t>
        </is>
      </c>
      <c r="L8" s="12" t="inlineStr">
        <is>
          <t>（同ファイル内）</t>
        </is>
      </c>
      <c r="M8" s="12" t="inlineStr">
        <is>
          <t>未作成</t>
        </is>
      </c>
      <c r="N8" s="11" t="inlineStr">
        <is>
          <t>LPを開く</t>
        </is>
      </c>
      <c r="O8" s="13" t="inlineStr">
        <is>
          <t>ded9a489</t>
        </is>
      </c>
      <c r="P8" s="8" t="inlineStr">
        <is>
          <t>2026-08-31</t>
        </is>
      </c>
    </row>
    <row r="9" ht="46" customHeight="1">
      <c r="A9" s="14" t="inlineStr">
        <is>
          <t>REALIZE CLUB（法人向け）</t>
        </is>
      </c>
      <c r="B9" s="15" t="inlineStr">
        <is>
          <t>別案</t>
        </is>
      </c>
      <c r="C9" s="14" t="inlineStr">
        <is>
          <t>その安心、今がお得。</t>
        </is>
      </c>
      <c r="D9" s="14" t="inlineStr">
        <is>
          <t>スーパーの特売ポップ／白地に赤と黄</t>
        </is>
      </c>
      <c r="E9" s="7" t="inlineStr">
        <is>
          <t>○</t>
        </is>
      </c>
      <c r="F9" s="7" t="inlineStr">
        <is>
          <t>△</t>
        </is>
      </c>
      <c r="G9" s="7" t="inlineStr">
        <is>
          <t>×</t>
        </is>
      </c>
      <c r="H9" s="16">
        <f>IF(J9="","×","○")</f>
        <v/>
      </c>
      <c r="I9" s="17">
        <f>COUNTIF(E9:H9,"○")+COUNTIF(E9:H9,"△")</f>
        <v/>
      </c>
      <c r="J9" s="10" t="n"/>
      <c r="K9" s="14" t="inlineStr">
        <is>
          <t>リンクがすべてページ内アンカー。外部への導線が1本もない／会社概要ページ、送信先の設定</t>
        </is>
      </c>
      <c r="L9" s="21" t="inlineStr">
        <is>
          <t>（同ページ内フォーム）</t>
        </is>
      </c>
      <c r="M9" s="21" t="inlineStr">
        <is>
          <t>未作成</t>
        </is>
      </c>
      <c r="N9" s="18" t="inlineStr">
        <is>
          <t>LPを開く</t>
        </is>
      </c>
      <c r="O9" s="19" t="inlineStr">
        <is>
          <t>4ce48691</t>
        </is>
      </c>
      <c r="P9" s="16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20" t="inlineStr">
        <is>
          <t>別案</t>
        </is>
      </c>
      <c r="C10" s="5" t="inlineStr">
        <is>
          <t>社員が、溶けていく前に。</t>
        </is>
      </c>
      <c r="D10" s="5" t="inlineStr">
        <is>
          <t>アイスのメタファー／手描き風</t>
        </is>
      </c>
      <c r="E10" s="7" t="inlineStr">
        <is>
          <t>○</t>
        </is>
      </c>
      <c r="F10" s="7" t="inlineStr">
        <is>
          <t>△</t>
        </is>
      </c>
      <c r="G10" s="7" t="inlineStr">
        <is>
          <t>×</t>
        </is>
      </c>
      <c r="H10" s="8">
        <f>IF(J10="","×","○")</f>
        <v/>
      </c>
      <c r="I10" s="9">
        <f>COUNTIF(E10:H10,"○")+COUNTIF(E10:H10,"△")</f>
        <v/>
      </c>
      <c r="J10" s="10" t="n"/>
      <c r="K10" s="5" t="inlineStr">
        <is>
          <t>会社概要ページが未作成／送信はメーラー起動のみ</t>
        </is>
      </c>
      <c r="L10" s="11" t="inlineStr">
        <is>
          <t>資料請求を開く</t>
        </is>
      </c>
      <c r="M10" s="12" t="inlineStr">
        <is>
          <t>未作成</t>
        </is>
      </c>
      <c r="N10" s="11" t="inlineStr">
        <is>
          <t>LPを開く</t>
        </is>
      </c>
      <c r="O10" s="13" t="inlineStr">
        <is>
          <t>b0f16478</t>
        </is>
      </c>
      <c r="P10" s="8" t="inlineStr">
        <is>
          <t>2026-08-28</t>
        </is>
      </c>
    </row>
    <row r="11" ht="46" customHeight="1">
      <c r="A11" s="14" t="inlineStr">
        <is>
          <t>LIFE MAKE PARTNERS（加盟店募集）</t>
        </is>
      </c>
      <c r="B11" s="22" t="inlineStr">
        <is>
          <t>現行</t>
        </is>
      </c>
      <c r="C11" s="14" t="inlineStr">
        <is>
          <t>家より先に、人生の話を。</t>
        </is>
      </c>
      <c r="D11" s="14" t="inlineStr">
        <is>
          <t>韓国料理店の看板／木の壁 × 生成りの横断幕</t>
        </is>
      </c>
      <c r="E11" s="7" t="inlineStr">
        <is>
          <t>○</t>
        </is>
      </c>
      <c r="F11" s="7" t="inlineStr">
        <is>
          <t>○</t>
        </is>
      </c>
      <c r="G11" s="7" t="inlineStr">
        <is>
          <t>○</t>
        </is>
      </c>
      <c r="H11" s="16">
        <f>IF(J11="","×","○")</f>
        <v/>
      </c>
      <c r="I11" s="17">
        <f>COUNTIF(E11:H11,"○")+COUNTIF(E11:H11,"△")</f>
        <v/>
      </c>
      <c r="J11" s="10" t="n"/>
      <c r="K11" s="14" t="inlineStr">
        <is>
          <t>本番ドメインへの公開だけが残り。問い合わせはLINE公式（lin.ee/WHYApuM）に集約済み</t>
        </is>
      </c>
      <c r="L11" s="18" t="inlineStr">
        <is>
          <t>資料請求を開く</t>
        </is>
      </c>
      <c r="M11" s="18" t="inlineStr">
        <is>
          <t>会社概要を開く</t>
        </is>
      </c>
      <c r="N11" s="18" t="inlineStr">
        <is>
          <t>LPを開く</t>
        </is>
      </c>
      <c r="O11" s="19" t="inlineStr">
        <is>
          <t>7f212d2f</t>
        </is>
      </c>
      <c r="P11" s="16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20" t="inlineStr">
        <is>
          <t>別案</t>
        </is>
      </c>
      <c r="C12" s="5" t="inlineStr">
        <is>
          <t>いつも同じ集客ばっかやってんじゃねぇ！</t>
        </is>
      </c>
      <c r="D12" s="5" t="inlineStr">
        <is>
          <t>喝・挑発ポスター／赤と黄の斜めストライプ</t>
        </is>
      </c>
      <c r="E12" s="7" t="inlineStr">
        <is>
          <t>○</t>
        </is>
      </c>
      <c r="F12" s="7" t="inlineStr">
        <is>
          <t>△</t>
        </is>
      </c>
      <c r="G12" s="7" t="inlineStr">
        <is>
          <t>×</t>
        </is>
      </c>
      <c r="H12" s="8">
        <f>IF(J12="","×","○")</f>
        <v/>
      </c>
      <c r="I12" s="9">
        <f>COUNTIF(E12:H12,"○")+COUNTIF(E12:H12,"△")</f>
        <v/>
      </c>
      <c r="J12" s="10" t="n"/>
      <c r="K12" s="5" t="inlineStr">
        <is>
          <t>kaisha-katsu.html ほかへの相対リンクが残り飛べない／行き先が「#」のままのボタンが2つ</t>
        </is>
      </c>
      <c r="L12" s="12" t="inlineStr">
        <is>
          <t>（同ページ内フォーム）</t>
        </is>
      </c>
      <c r="M12" s="12" t="inlineStr">
        <is>
          <t>未作成</t>
        </is>
      </c>
      <c r="N12" s="11" t="inlineStr">
        <is>
          <t>LPを開く</t>
        </is>
      </c>
      <c r="O12" s="13" t="inlineStr">
        <is>
          <t>db82fc95</t>
        </is>
      </c>
      <c r="P12" s="8" t="inlineStr">
        <is>
          <t>2026-08-28</t>
        </is>
      </c>
    </row>
    <row r="13" ht="46" customHeight="1">
      <c r="A13" s="14" t="inlineStr">
        <is>
          <t>LIFE MAKE PARTNERS（加盟店募集）</t>
        </is>
      </c>
      <c r="B13" s="15" t="inlineStr">
        <is>
          <t>別案</t>
        </is>
      </c>
      <c r="C13" s="14" t="inlineStr">
        <is>
          <t>加盟資格は、人生への愛。ただそれだけ。</t>
        </is>
      </c>
      <c r="D13" s="14" t="inlineStr">
        <is>
          <t>星空タウン／RC星空案と同じ世界観</t>
        </is>
      </c>
      <c r="E13" s="7" t="inlineStr">
        <is>
          <t>○</t>
        </is>
      </c>
      <c r="F13" s="7" t="inlineStr">
        <is>
          <t>○</t>
        </is>
      </c>
      <c r="G13" s="7" t="inlineStr">
        <is>
          <t>△</t>
        </is>
      </c>
      <c r="H13" s="16">
        <f>IF(J13="","×","○")</f>
        <v/>
      </c>
      <c r="I13" s="17">
        <f>COUNTIF(E13:H13,"○")+COUNTIF(E13:H13,"△")</f>
        <v/>
      </c>
      <c r="J13" s="10" t="n"/>
      <c r="K13" s="14" t="inlineStr">
        <is>
          <t>行き先が「#」のままのボタンが2つ／現行案との統廃合の判断</t>
        </is>
      </c>
      <c r="L13" s="18" t="inlineStr">
        <is>
          <t>資料請求を開く</t>
        </is>
      </c>
      <c r="M13" s="18" t="inlineStr">
        <is>
          <t>会社概要を開く</t>
        </is>
      </c>
      <c r="N13" s="18" t="inlineStr">
        <is>
          <t>LPを開く</t>
        </is>
      </c>
      <c r="O13" s="19" t="inlineStr">
        <is>
          <t>65b43069</t>
        </is>
      </c>
      <c r="P13" s="16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現行</t>
        </is>
      </c>
      <c r="C14" s="5" t="inlineStr">
        <is>
          <t>不動産屋が、まちの相談窓口になる。</t>
        </is>
      </c>
      <c r="D14" s="5" t="inlineStr">
        <is>
          <t>銭湯ポスター（リソグラフ2色刷り）／LINE誘導版</t>
        </is>
      </c>
      <c r="E14" s="7" t="inlineStr">
        <is>
          <t>○</t>
        </is>
      </c>
      <c r="F14" s="7" t="inlineStr">
        <is>
          <t>○</t>
        </is>
      </c>
      <c r="G14" s="7" t="inlineStr">
        <is>
          <t>△</t>
        </is>
      </c>
      <c r="H14" s="8">
        <f>IF(J14="","×","○")</f>
        <v/>
      </c>
      <c r="I14" s="9">
        <f>COUNTIF(E14:H14,"○")+COUNTIF(E14:H14,"△")</f>
        <v/>
      </c>
      <c r="J14" s="10" t="n"/>
      <c r="K14" s="5" t="inlineStr">
        <is>
          <t>行き先が「#」のままのリンクが2つ残っている／本番ドメインへの公開</t>
        </is>
      </c>
      <c r="L14" s="11" t="inlineStr">
        <is>
          <t>資料請求を開く</t>
        </is>
      </c>
      <c r="M14" s="11" t="inlineStr">
        <is>
          <t>会社概要を開く</t>
        </is>
      </c>
      <c r="N14" s="11" t="inlineStr">
        <is>
          <t>LPを開く</t>
        </is>
      </c>
      <c r="O14" s="13" t="inlineStr">
        <is>
          <t>1a259364</t>
        </is>
      </c>
      <c r="P14" s="8" t="inlineStr">
        <is>
          <t>2026-09-03</t>
        </is>
      </c>
    </row>
    <row r="15" ht="46" customHeight="1">
      <c r="A15" s="14" t="inlineStr">
        <is>
          <t>まちの相談窓口</t>
        </is>
      </c>
      <c r="B15" s="23" t="inlineStr">
        <is>
          <t>旧版</t>
        </is>
      </c>
      <c r="C15" s="14" t="inlineStr">
        <is>
          <t>まちの相談窓口（フォーム版）</t>
        </is>
      </c>
      <c r="D15" s="14" t="inlineStr">
        <is>
          <t>銭湯ポスター／申込フォーム内蔵</t>
        </is>
      </c>
      <c r="E15" s="7" t="inlineStr">
        <is>
          <t>○</t>
        </is>
      </c>
      <c r="F15" s="7" t="inlineStr">
        <is>
          <t>○</t>
        </is>
      </c>
      <c r="G15" s="7" t="inlineStr">
        <is>
          <t>△</t>
        </is>
      </c>
      <c r="H15" s="16">
        <f>IF(J15="","×","○")</f>
        <v/>
      </c>
      <c r="I15" s="17">
        <f>COUNTIF(E15:H15,"○")+COUNTIF(E15:H15,"△")</f>
        <v/>
      </c>
      <c r="J15" s="10" t="n"/>
      <c r="K15" s="14" t="inlineStr">
        <is>
          <t>現行のLINE誘導版に置き換わっている。残すか消すかの判断</t>
        </is>
      </c>
      <c r="L15" s="18" t="inlineStr">
        <is>
          <t>資料請求を開く</t>
        </is>
      </c>
      <c r="M15" s="18" t="inlineStr">
        <is>
          <t>会社概要を開く</t>
        </is>
      </c>
      <c r="N15" s="18" t="inlineStr">
        <is>
          <t>LPを開く</t>
        </is>
      </c>
      <c r="O15" s="19" t="inlineStr">
        <is>
          <t>39f0d878</t>
        </is>
      </c>
      <c r="P15" s="16" t="inlineStr">
        <is>
          <t>2026-08-20</t>
        </is>
      </c>
    </row>
    <row r="16" ht="46" customHeight="1">
      <c r="A16" s="5" t="inlineStr">
        <is>
          <t>不動産FC加盟</t>
        </is>
      </c>
      <c r="B16" s="24" t="inlineStr">
        <is>
          <t>単発</t>
        </is>
      </c>
      <c r="C16" s="5" t="inlineStr">
        <is>
          <t>収益が積み上がる不動産FC加盟へ。</t>
        </is>
      </c>
      <c r="D16" s="5" t="inlineStr">
        <is>
          <t>ボクシング／黒地 × 赤とゴールド</t>
        </is>
      </c>
      <c r="E16" s="7" t="inlineStr">
        <is>
          <t>○</t>
        </is>
      </c>
      <c r="F16" s="7" t="inlineStr">
        <is>
          <t>×</t>
        </is>
      </c>
      <c r="G16" s="7" t="inlineStr">
        <is>
          <t>×</t>
        </is>
      </c>
      <c r="H16" s="8">
        <f>IF(J16="","×","○")</f>
        <v/>
      </c>
      <c r="I16" s="9">
        <f>COUNTIF(E16:H16,"○")+COUNTIF(E16:H16,"△")</f>
        <v/>
      </c>
      <c r="J16" s="10" t="n"/>
      <c r="K16" s="5" t="inlineStr">
        <is>
          <t>ページのタイトルタグが空。共有すると名前なしで出る／資料請求・会社概要ページ、送信先の設定</t>
        </is>
      </c>
      <c r="L16" s="12" t="inlineStr">
        <is>
          <t>（同ページ内フォーム）</t>
        </is>
      </c>
      <c r="M16" s="12" t="inlineStr">
        <is>
          <t>未作成</t>
        </is>
      </c>
      <c r="N16" s="11" t="inlineStr">
        <is>
          <t>LPを開く</t>
        </is>
      </c>
      <c r="O16" s="13" t="inlineStr">
        <is>
          <t>d5160792</t>
        </is>
      </c>
      <c r="P16" s="8" t="inlineStr">
        <is>
          <t>2026-08-19</t>
        </is>
      </c>
    </row>
    <row r="17">
      <c r="D17" s="25" t="inlineStr">
        <is>
          <t>合計 / 平均</t>
        </is>
      </c>
      <c r="E17" s="26">
        <f>COUNTIF(E6:E16,"○")</f>
        <v/>
      </c>
      <c r="F17" s="26">
        <f>COUNTIF(F6:F16,"○")</f>
        <v/>
      </c>
      <c r="G17" s="26">
        <f>COUNTIF(G6:G16,"○")</f>
        <v/>
      </c>
      <c r="H17" s="26">
        <f>COUNTIF(H6:H16,"○")</f>
        <v/>
      </c>
      <c r="I17" s="27">
        <f>AVERAGE(I6:I16)</f>
        <v/>
      </c>
      <c r="J17" s="28">
        <f>COUNTA(J6:J16)&amp;" 本 公開済み"</f>
        <v/>
      </c>
    </row>
  </sheetData>
  <autoFilter ref="A5:P16"/>
  <conditionalFormatting sqref="E6:H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conditionalFormatting sqref="I6:I16">
    <cfRule type="dataBar" priority="4">
      <dataBar showValue="1">
        <cfvo type="num" val="0"/>
        <cfvo type="num" val="4"/>
        <color rgb="001F4E6B"/>
      </dataBar>
    </cfRule>
  </conditionalFormatting>
  <dataValidations count="1">
    <dataValidation sqref="E6:G16" showDropDown="0" showInputMessage="0" showErrorMessage="0" allowBlank="0" promptTitle="選んでください" prompt="○＝できている／△＝仮づけ／×＝手つかず" type="list">
      <formula1>"○,△,×"</formula1>
    </dataValidation>
  </dataValidations>
  <hyperlinks>
    <hyperlink xmlns:r="http://schemas.openxmlformats.org/officeDocument/2006/relationships" ref="L6" r:id="rId1"/>
    <hyperlink xmlns:r="http://schemas.openxmlformats.org/officeDocument/2006/relationships" ref="N6" r:id="rId2"/>
    <hyperlink xmlns:r="http://schemas.openxmlformats.org/officeDocument/2006/relationships" ref="L7" r:id="rId3"/>
    <hyperlink xmlns:r="http://schemas.openxmlformats.org/officeDocument/2006/relationships" ref="M7" r:id="rId4"/>
    <hyperlink xmlns:r="http://schemas.openxmlformats.org/officeDocument/2006/relationships" ref="N7" r:id="rId5"/>
    <hyperlink xmlns:r="http://schemas.openxmlformats.org/officeDocument/2006/relationships" ref="N8" r:id="rId6"/>
    <hyperlink xmlns:r="http://schemas.openxmlformats.org/officeDocument/2006/relationships" ref="N9" r:id="rId7"/>
    <hyperlink xmlns:r="http://schemas.openxmlformats.org/officeDocument/2006/relationships" ref="L10" r:id="rId8"/>
    <hyperlink xmlns:r="http://schemas.openxmlformats.org/officeDocument/2006/relationships" ref="N10" r:id="rId9"/>
    <hyperlink xmlns:r="http://schemas.openxmlformats.org/officeDocument/2006/relationships" ref="L11" r:id="rId10"/>
    <hyperlink xmlns:r="http://schemas.openxmlformats.org/officeDocument/2006/relationships" ref="M11" r:id="rId11"/>
    <hyperlink xmlns:r="http://schemas.openxmlformats.org/officeDocument/2006/relationships" ref="N11" r:id="rId12"/>
    <hyperlink xmlns:r="http://schemas.openxmlformats.org/officeDocument/2006/relationships" ref="N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N13" r:id="rId16"/>
    <hyperlink xmlns:r="http://schemas.openxmlformats.org/officeDocument/2006/relationships" ref="L14" r:id="rId17"/>
    <hyperlink xmlns:r="http://schemas.openxmlformats.org/officeDocument/2006/relationships" ref="M14" r:id="rId18"/>
    <hyperlink xmlns:r="http://schemas.openxmlformats.org/officeDocument/2006/relationships" ref="N14" r:id="rId19"/>
    <hyperlink xmlns:r="http://schemas.openxmlformats.org/officeDocument/2006/relationships" ref="L15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N16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進捗</t>
        </is>
      </c>
    </row>
    <row r="2">
      <c r="A2" s="30" t="n">
        <v>0</v>
      </c>
    </row>
    <row r="3">
      <c r="A3" s="30" t="n">
        <v>0.05</v>
      </c>
    </row>
    <row r="4">
      <c r="A4" s="30" t="n">
        <v>0.1</v>
      </c>
    </row>
    <row r="5">
      <c r="A5" s="30" t="n">
        <v>0.15</v>
      </c>
    </row>
    <row r="6">
      <c r="A6" s="30" t="n">
        <v>0.2</v>
      </c>
    </row>
    <row r="7">
      <c r="A7" s="30" t="n">
        <v>0.25</v>
      </c>
    </row>
    <row r="8">
      <c r="A8" s="30" t="n">
        <v>0.3</v>
      </c>
    </row>
    <row r="9">
      <c r="A9" s="30" t="n">
        <v>0.35</v>
      </c>
    </row>
    <row r="10">
      <c r="A10" s="30" t="n">
        <v>0.4</v>
      </c>
    </row>
    <row r="11">
      <c r="A11" s="30" t="n">
        <v>0.45</v>
      </c>
    </row>
    <row r="12">
      <c r="A12" s="30" t="n">
        <v>0.5</v>
      </c>
    </row>
    <row r="13">
      <c r="A13" s="30" t="n">
        <v>0.55</v>
      </c>
    </row>
    <row r="14">
      <c r="A14" s="30" t="n">
        <v>0.6000000000000001</v>
      </c>
    </row>
    <row r="15">
      <c r="A15" s="30" t="n">
        <v>0.65</v>
      </c>
    </row>
    <row r="16">
      <c r="A16" s="30" t="n">
        <v>0.7000000000000001</v>
      </c>
    </row>
    <row r="17">
      <c r="A17" s="30" t="n">
        <v>0.75</v>
      </c>
    </row>
    <row r="18">
      <c r="A18" s="30" t="n">
        <v>0.8</v>
      </c>
    </row>
    <row r="19">
      <c r="A19" s="30" t="n">
        <v>0.8500000000000001</v>
      </c>
    </row>
    <row r="20">
      <c r="A20" s="30" t="n">
        <v>0.9</v>
      </c>
    </row>
    <row r="21">
      <c r="A21" s="30" t="n">
        <v>0.9500000000000001</v>
      </c>
    </row>
    <row r="22">
      <c r="A22" s="3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34" customWidth="1" min="3" max="3"/>
    <col width="30" customWidth="1" min="4" max="4"/>
    <col width="22" customWidth="1" min="5" max="5"/>
    <col width="9" customWidth="1" min="6" max="6"/>
    <col width="10" customWidth="1" min="7" max="7"/>
    <col width="34" customWidth="1" min="8" max="8"/>
    <col width="44" customWidth="1" min="9" max="9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</t>
        </is>
      </c>
    </row>
    <row r="5" ht="34" customHeight="1">
      <c r="A5" s="4" t="inlineStr">
        <is>
          <t>区分</t>
        </is>
      </c>
      <c r="B5" s="4" t="inlineStr">
        <is>
          <t>優先</t>
        </is>
      </c>
      <c r="C5" s="4" t="inlineStr">
        <is>
          <t>何を作るか／するか</t>
        </is>
      </c>
      <c r="D5" s="4" t="inlineStr">
        <is>
          <t>どこで使う</t>
        </is>
      </c>
      <c r="E5" s="4" t="inlineStr">
        <is>
          <t>担当</t>
        </is>
      </c>
      <c r="F5" s="4" t="inlineStr">
        <is>
          <t>進捗</t>
        </is>
      </c>
      <c r="G5" s="4" t="inlineStr">
        <is>
          <t>状態</t>
        </is>
      </c>
      <c r="H5" s="4" t="inlineStr">
        <is>
          <t>URL記入欄</t>
        </is>
      </c>
      <c r="I5" s="4" t="inlineStr">
        <is>
          <t>メモ</t>
        </is>
      </c>
    </row>
    <row r="6" ht="32" customHeight="1">
      <c r="A6" s="13" t="inlineStr">
        <is>
          <t>教材・ツール</t>
        </is>
      </c>
      <c r="B6" s="8" t="inlineStr">
        <is>
          <t>P2</t>
        </is>
      </c>
      <c r="C6" s="5" t="inlineStr">
        <is>
          <t>eラーニング（ツール本体）</t>
        </is>
      </c>
      <c r="D6" s="5" t="inlineStr">
        <is>
          <t>LMP事業 · Web・ツール・システム</t>
        </is>
      </c>
      <c r="E6" s="13" t="inlineStr">
        <is>
          <t>社長・白石・片山</t>
        </is>
      </c>
      <c r="F6" s="31" t="n">
        <v>0.5</v>
      </c>
      <c r="G6" s="32" t="inlineStr">
        <is>
          <t>進行中</t>
        </is>
      </c>
      <c r="H6" s="33" t="n"/>
      <c r="I6" s="5" t="inlineStr">
        <is>
          <t>加盟店が学ぶ画面そのもの</t>
        </is>
      </c>
    </row>
    <row r="7" ht="32" customHeight="1">
      <c r="A7" s="13" t="inlineStr">
        <is>
          <t>教材・ツール</t>
        </is>
      </c>
      <c r="B7" s="8" t="inlineStr">
        <is>
          <t>P2</t>
        </is>
      </c>
      <c r="C7" s="5" t="inlineStr">
        <is>
          <t>eラーニング動画</t>
        </is>
      </c>
      <c r="D7" s="5" t="inlineStr">
        <is>
          <t>LMP事業 · Web・ツール・システム</t>
        </is>
      </c>
      <c r="E7" s="34" t="inlineStr">
        <is>
          <t>未定</t>
        </is>
      </c>
      <c r="F7" s="31" t="n">
        <v>0.2</v>
      </c>
      <c r="G7" s="32" t="inlineStr">
        <is>
          <t>進行中</t>
        </is>
      </c>
      <c r="H7" s="33" t="n"/>
      <c r="I7" s="5" t="inlineStr">
        <is>
          <t>教材の中で流す動画。担当が決まっていない</t>
        </is>
      </c>
    </row>
    <row r="8" ht="32" customHeight="1">
      <c r="A8" s="13" t="inlineStr">
        <is>
          <t>教材・ツール</t>
        </is>
      </c>
      <c r="B8" s="8" t="inlineStr">
        <is>
          <t>P2</t>
        </is>
      </c>
      <c r="C8" s="5" t="inlineStr">
        <is>
          <t>教育診断</t>
        </is>
      </c>
      <c r="D8" s="5" t="inlineStr">
        <is>
          <t>RC事業 · Web・ツール・システム</t>
        </is>
      </c>
      <c r="E8" s="13" t="inlineStr">
        <is>
          <t>白石</t>
        </is>
      </c>
      <c r="F8" s="31" t="n">
        <v>0.8</v>
      </c>
      <c r="G8" s="32" t="inlineStr">
        <is>
          <t>進行中</t>
        </is>
      </c>
      <c r="H8" s="33" t="n"/>
      <c r="I8" s="5" t="inlineStr">
        <is>
          <t>学ぶ前に現在地をはかる</t>
        </is>
      </c>
    </row>
    <row r="9" ht="32" customHeight="1">
      <c r="A9" s="13" t="inlineStr">
        <is>
          <t>教材・ツール</t>
        </is>
      </c>
      <c r="B9" s="8" t="inlineStr">
        <is>
          <t>P2</t>
        </is>
      </c>
      <c r="C9" s="5" t="inlineStr">
        <is>
          <t>教科書の前段階の資料</t>
        </is>
      </c>
      <c r="D9" s="5" t="inlineStr">
        <is>
          <t>RC事業 · 動画・コンテンツ</t>
        </is>
      </c>
      <c r="E9" s="13" t="inlineStr">
        <is>
          <t>白石</t>
        </is>
      </c>
      <c r="F9" s="31" t="n">
        <v>0.6</v>
      </c>
      <c r="G9" s="32" t="inlineStr">
        <is>
          <t>進行中</t>
        </is>
      </c>
      <c r="H9" s="33" t="n"/>
      <c r="I9" s="5" t="inlineStr">
        <is>
          <t>教材のもとになる原稿</t>
        </is>
      </c>
    </row>
    <row r="10" ht="32" customHeight="1">
      <c r="A10" s="13" t="inlineStr">
        <is>
          <t>教材・ツール</t>
        </is>
      </c>
      <c r="B10" s="8" t="inlineStr">
        <is>
          <t>P2</t>
        </is>
      </c>
      <c r="C10" s="5" t="inlineStr">
        <is>
          <t>各ツールマニュアル作成</t>
        </is>
      </c>
      <c r="D10" s="5" t="inlineStr">
        <is>
          <t>LMP事業 · 営業・資料</t>
        </is>
      </c>
      <c r="E10" s="34" t="inlineStr">
        <is>
          <t>未定</t>
        </is>
      </c>
      <c r="F10" s="31" t="n">
        <v>0</v>
      </c>
      <c r="G10" s="35" t="inlineStr">
        <is>
          <t>未着手</t>
        </is>
      </c>
      <c r="H10" s="33" t="n"/>
      <c r="I10" s="5" t="inlineStr">
        <is>
          <t>担当が決まっていない</t>
        </is>
      </c>
    </row>
    <row r="11" ht="32" customHeight="1">
      <c r="A11" s="13" t="inlineStr">
        <is>
          <t>教材・ツール</t>
        </is>
      </c>
      <c r="B11" s="8" t="inlineStr">
        <is>
          <t>P2</t>
        </is>
      </c>
      <c r="C11" s="5" t="inlineStr">
        <is>
          <t>研修会準備</t>
        </is>
      </c>
      <c r="D11" s="5" t="inlineStr">
        <is>
          <t>LMP事業 · 加盟開発</t>
        </is>
      </c>
      <c r="E11" s="13" t="inlineStr">
        <is>
          <t>白石・池之上・大熊</t>
        </is>
      </c>
      <c r="F11" s="31" t="n">
        <v>0</v>
      </c>
      <c r="G11" s="35" t="inlineStr">
        <is>
          <t>未着手</t>
        </is>
      </c>
      <c r="H11" s="33" t="n"/>
      <c r="I11" s="5" t="inlineStr"/>
    </row>
    <row r="12" ht="32" customHeight="1">
      <c r="A12" s="13" t="inlineStr">
        <is>
          <t>教材・ツール</t>
        </is>
      </c>
      <c r="B12" s="8" t="inlineStr">
        <is>
          <t>P2</t>
        </is>
      </c>
      <c r="C12" s="5" t="inlineStr">
        <is>
          <t>eラーニング接続・設計</t>
        </is>
      </c>
      <c r="D12" s="5" t="inlineStr">
        <is>
          <t>RCP事業 · Web・ツール・システム</t>
        </is>
      </c>
      <c r="E12" s="13" t="inlineStr">
        <is>
          <t>白石</t>
        </is>
      </c>
      <c r="F12" s="31" t="n">
        <v>0</v>
      </c>
      <c r="G12" s="35" t="inlineStr">
        <is>
          <t>未着手</t>
        </is>
      </c>
      <c r="H12" s="33" t="n"/>
      <c r="I12" s="5" t="inlineStr"/>
    </row>
    <row r="13" ht="32" customHeight="1">
      <c r="A13" s="13" t="inlineStr">
        <is>
          <t>教材・ツール</t>
        </is>
      </c>
      <c r="B13" s="8" t="inlineStr">
        <is>
          <t>P2</t>
        </is>
      </c>
      <c r="C13" s="5" t="inlineStr">
        <is>
          <t>AIロープレ（アオ先生）</t>
        </is>
      </c>
      <c r="D13" s="5" t="inlineStr">
        <is>
          <t>AIアオ先生 · 営業コーチ</t>
        </is>
      </c>
      <c r="E13" s="13" t="inlineStr">
        <is>
          <t>池之上</t>
        </is>
      </c>
      <c r="F13" s="31" t="n">
        <v>0.9</v>
      </c>
      <c r="G13" s="36" t="inlineStr">
        <is>
          <t>確認待ち</t>
        </is>
      </c>
      <c r="H13" s="33" t="n"/>
      <c r="I13" s="5" t="inlineStr">
        <is>
          <t>制作MASTERのみに記載</t>
        </is>
      </c>
    </row>
    <row r="14" ht="32" customHeight="1">
      <c r="A14" s="13" t="inlineStr">
        <is>
          <t>動画</t>
        </is>
      </c>
      <c r="B14" s="8" t="inlineStr">
        <is>
          <t>P2</t>
        </is>
      </c>
      <c r="C14" s="5" t="inlineStr">
        <is>
          <t>結婚後の暮らしと人生設計動画</t>
        </is>
      </c>
      <c r="D14" s="5" t="inlineStr">
        <is>
          <t>RC事業 · 動画・コンテンツ</t>
        </is>
      </c>
      <c r="E14" s="13" t="inlineStr">
        <is>
          <t>白石</t>
        </is>
      </c>
      <c r="F14" s="31" t="n">
        <v>0.7</v>
      </c>
      <c r="G14" s="32" t="inlineStr">
        <is>
          <t>進行中</t>
        </is>
      </c>
      <c r="H14" s="33" t="n"/>
      <c r="I14" s="5" t="inlineStr">
        <is>
          <t>動画で唯一動いている1本</t>
        </is>
      </c>
    </row>
    <row r="15" ht="32" customHeight="1">
      <c r="A15" s="13" t="inlineStr">
        <is>
          <t>動画</t>
        </is>
      </c>
      <c r="B15" s="8" t="inlineStr">
        <is>
          <t>P2</t>
        </is>
      </c>
      <c r="C15" s="5" t="inlineStr">
        <is>
          <t>サービス説明動画</t>
        </is>
      </c>
      <c r="D15" s="5" t="inlineStr">
        <is>
          <t>RC事業 · 動画・コンテンツ</t>
        </is>
      </c>
      <c r="E15" s="13" t="inlineStr">
        <is>
          <t>白石</t>
        </is>
      </c>
      <c r="F15" s="31" t="n">
        <v>0</v>
      </c>
      <c r="G15" s="35" t="inlineStr">
        <is>
          <t>未着手</t>
        </is>
      </c>
      <c r="H15" s="33" t="n"/>
      <c r="I15" s="5" t="inlineStr"/>
    </row>
    <row r="16" ht="32" customHeight="1">
      <c r="A16" s="13" t="inlineStr">
        <is>
          <t>動画</t>
        </is>
      </c>
      <c r="B16" s="8" t="inlineStr">
        <is>
          <t>P2</t>
        </is>
      </c>
      <c r="C16" s="5" t="inlineStr">
        <is>
          <t>toC動画</t>
        </is>
      </c>
      <c r="D16" s="5" t="inlineStr">
        <is>
          <t>RC事業 · 動画・コンテンツ</t>
        </is>
      </c>
      <c r="E16" s="13" t="inlineStr">
        <is>
          <t>白石</t>
        </is>
      </c>
      <c r="F16" s="31" t="n">
        <v>0</v>
      </c>
      <c r="G16" s="35" t="inlineStr">
        <is>
          <t>未着手</t>
        </is>
      </c>
      <c r="H16" s="33" t="n"/>
      <c r="I16" s="5" t="inlineStr"/>
    </row>
    <row r="17" ht="32" customHeight="1">
      <c r="A17" s="13" t="inlineStr">
        <is>
          <t>動画</t>
        </is>
      </c>
      <c r="B17" s="8" t="inlineStr">
        <is>
          <t>P2</t>
        </is>
      </c>
      <c r="C17" s="5" t="inlineStr">
        <is>
          <t>サービスデモ動画</t>
        </is>
      </c>
      <c r="D17" s="5" t="inlineStr">
        <is>
          <t>RCP事業 · 動画・コンテンツ</t>
        </is>
      </c>
      <c r="E17" s="13" t="inlineStr">
        <is>
          <t>白石</t>
        </is>
      </c>
      <c r="F17" s="31" t="n">
        <v>0</v>
      </c>
      <c r="G17" s="35" t="inlineStr">
        <is>
          <t>未着手</t>
        </is>
      </c>
      <c r="H17" s="33" t="n"/>
      <c r="I17" s="5" t="inlineStr"/>
    </row>
    <row r="18" ht="32" customHeight="1">
      <c r="A18" s="13" t="inlineStr">
        <is>
          <t>動画</t>
        </is>
      </c>
      <c r="B18" s="8" t="inlineStr">
        <is>
          <t>P2</t>
        </is>
      </c>
      <c r="C18" s="5" t="inlineStr">
        <is>
          <t>水谷先生の本の動画</t>
        </is>
      </c>
      <c r="D18" s="5" t="inlineStr">
        <is>
          <t>RCP事業 · 動画・コンテンツ</t>
        </is>
      </c>
      <c r="E18" s="13" t="inlineStr">
        <is>
          <t>白石</t>
        </is>
      </c>
      <c r="F18" s="31" t="n">
        <v>0</v>
      </c>
      <c r="G18" s="35" t="inlineStr">
        <is>
          <t>未着手</t>
        </is>
      </c>
      <c r="H18" s="33" t="n"/>
      <c r="I18" s="5" t="inlineStr"/>
    </row>
    <row r="19" ht="32" customHeight="1">
      <c r="A19" s="13" t="inlineStr">
        <is>
          <t>動画</t>
        </is>
      </c>
      <c r="B19" s="8" t="inlineStr">
        <is>
          <t>P3</t>
        </is>
      </c>
      <c r="C19" s="5" t="inlineStr">
        <is>
          <t>OEM各先生の宣伝動画（5本）</t>
        </is>
      </c>
      <c r="D19" s="5" t="inlineStr">
        <is>
          <t>RCP PPモデル · OEM</t>
        </is>
      </c>
      <c r="E19" s="13" t="inlineStr">
        <is>
          <t>白石</t>
        </is>
      </c>
      <c r="F19" s="31" t="n">
        <v>0</v>
      </c>
      <c r="G19" s="35" t="inlineStr">
        <is>
          <t>未着手</t>
        </is>
      </c>
      <c r="H19" s="33" t="n"/>
      <c r="I19" s="5" t="inlineStr">
        <is>
          <t>AKさん・大橋会長・木原さん・水谷先生・藤田先生</t>
        </is>
      </c>
    </row>
    <row r="20" ht="32" customHeight="1">
      <c r="A20" s="13" t="inlineStr">
        <is>
          <t>動画</t>
        </is>
      </c>
      <c r="B20" s="8" t="inlineStr">
        <is>
          <t>P3</t>
        </is>
      </c>
      <c r="C20" s="5" t="inlineStr">
        <is>
          <t>宣伝動画・PV ロング／ショート（7本）</t>
        </is>
      </c>
      <c r="D20" s="5" t="inlineStr">
        <is>
          <t>RC／RCP／HI／PP · REALIZE QUEST</t>
        </is>
      </c>
      <c r="E20" s="13" t="inlineStr">
        <is>
          <t>白石・片山</t>
        </is>
      </c>
      <c r="F20" s="31" t="n">
        <v>0</v>
      </c>
      <c r="G20" s="35" t="inlineStr">
        <is>
          <t>未着手</t>
        </is>
      </c>
      <c r="H20" s="33" t="n"/>
      <c r="I20" s="5" t="inlineStr"/>
    </row>
    <row r="21" ht="32" customHeight="1">
      <c r="A21" s="13" t="inlineStr">
        <is>
          <t>動画</t>
        </is>
      </c>
      <c r="B21" s="8" t="inlineStr">
        <is>
          <t>P3</t>
        </is>
      </c>
      <c r="C21" s="5" t="inlineStr">
        <is>
          <t>採用まわりの動画（2本）</t>
        </is>
      </c>
      <c r="D21" s="5" t="inlineStr">
        <is>
          <t>採用 · 学生募集</t>
        </is>
      </c>
      <c r="E21" s="13" t="inlineStr">
        <is>
          <t>白石・片山</t>
        </is>
      </c>
      <c r="F21" s="31" t="n">
        <v>0</v>
      </c>
      <c r="G21" s="35" t="inlineStr">
        <is>
          <t>未着手</t>
        </is>
      </c>
      <c r="H21" s="33" t="n"/>
      <c r="I21" s="5" t="inlineStr">
        <is>
          <t>PR動画・SNS採用募集動画</t>
        </is>
      </c>
    </row>
    <row r="22">
      <c r="E22" s="25" t="inlineStr">
        <is>
          <t>平均</t>
        </is>
      </c>
      <c r="F22" s="37">
        <f>AVERAGE(F6:F21)</f>
        <v/>
      </c>
      <c r="G22" s="28">
        <f>COUNTIF(G6:G21,"未着手")&amp;" 件未着手"</f>
        <v/>
      </c>
      <c r="H22" s="28">
        <f>COUNTA(H6:H21)&amp;" 件 登録済み"</f>
        <v/>
      </c>
    </row>
    <row r="24">
      <c r="A24" s="38" t="inlineStr">
        <is>
          <t>できている設計書・ガイド</t>
        </is>
      </c>
    </row>
    <row r="25">
      <c r="C25" s="39" t="inlineStr">
        <is>
          <t>LIFE CHECK42 Eラーニング画面設計書</t>
        </is>
      </c>
      <c r="D25" s="2" t="inlineStr">
        <is>
          <t>画面設計</t>
        </is>
      </c>
      <c r="E25" s="2" t="inlineStr">
        <is>
          <t>2026-08-31</t>
        </is>
      </c>
      <c r="I25" s="40" t="inlineStr">
        <is>
          <t>開く</t>
        </is>
      </c>
    </row>
    <row r="26">
      <c r="C26" s="39" t="inlineStr">
        <is>
          <t>RCP ノーマル版 eラーニング｜UI提案 v1</t>
        </is>
      </c>
      <c r="D26" s="2" t="inlineStr">
        <is>
          <t>UI提案</t>
        </is>
      </c>
      <c r="E26" s="2" t="inlineStr">
        <is>
          <t>2026-08-05</t>
        </is>
      </c>
      <c r="I26" s="40" t="inlineStr">
        <is>
          <t>開く</t>
        </is>
      </c>
    </row>
    <row r="27">
      <c r="C27" s="39" t="inlineStr">
        <is>
          <t>AIロープレ 操作ガイド</t>
        </is>
      </c>
      <c r="D27" s="2" t="inlineStr">
        <is>
          <t>操作ガイド</t>
        </is>
      </c>
      <c r="E27" s="2" t="inlineStr">
        <is>
          <t>2026-08-31</t>
        </is>
      </c>
      <c r="I27" s="40" t="inlineStr">
        <is>
          <t>開く</t>
        </is>
      </c>
    </row>
    <row r="28">
      <c r="C28" s="39" t="inlineStr">
        <is>
          <t>生成AI動画講座 比較検討</t>
        </is>
      </c>
      <c r="D28" s="2" t="inlineStr">
        <is>
          <t>比較検討</t>
        </is>
      </c>
      <c r="E28" s="2" t="inlineStr">
        <is>
          <t>2026-08-21</t>
        </is>
      </c>
      <c r="I28" s="40" t="inlineStr">
        <is>
          <t>開く</t>
        </is>
      </c>
    </row>
  </sheetData>
  <autoFilter ref="A5:I21"/>
  <conditionalFormatting sqref="F6:F21">
    <cfRule type="dataBar" priority="1">
      <dataBar showValue="1">
        <cfvo type="num" val="0"/>
        <cfvo type="num" val="1"/>
        <color rgb="001F4E6B"/>
      </dataBar>
    </cfRule>
  </conditionalFormatting>
  <dataValidations count="2">
    <dataValidation sqref="F6:F21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G6:G21" showDropDown="0" showInputMessage="0" showErrorMessage="0" allowBlank="0" promptTitle="状態を選ぶ" prompt="未着手／進行中／確認待ち" type="list">
      <formula1>"未着手,進行中,確認待ち"</formula1>
    </dataValidation>
  </dataValidations>
  <hyperlinks>
    <hyperlink xmlns:r="http://schemas.openxmlformats.org/officeDocument/2006/relationships" ref="I25" r:id="rId1"/>
    <hyperlink xmlns:r="http://schemas.openxmlformats.org/officeDocument/2006/relationships" ref="I26" r:id="rId2"/>
    <hyperlink xmlns:r="http://schemas.openxmlformats.org/officeDocument/2006/relationships" ref="I27" r:id="rId3"/>
    <hyperlink xmlns:r="http://schemas.openxmlformats.org/officeDocument/2006/relationships" ref="I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34" customWidth="1" min="3" max="3"/>
    <col width="30" customWidth="1" min="4" max="4"/>
    <col width="22" customWidth="1" min="5" max="5"/>
    <col width="9" customWidth="1" min="6" max="6"/>
    <col width="10" customWidth="1" min="7" max="7"/>
    <col width="34" customWidth="1" min="8" max="8"/>
    <col width="44" customWidth="1" min="9" max="9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</t>
        </is>
      </c>
    </row>
    <row r="5" ht="34" customHeight="1">
      <c r="A5" s="4" t="inlineStr">
        <is>
          <t>区分</t>
        </is>
      </c>
      <c r="B5" s="4" t="inlineStr">
        <is>
          <t>優先</t>
        </is>
      </c>
      <c r="C5" s="4" t="inlineStr">
        <is>
          <t>何を作るか／するか</t>
        </is>
      </c>
      <c r="D5" s="4" t="inlineStr">
        <is>
          <t>どこで使う</t>
        </is>
      </c>
      <c r="E5" s="4" t="inlineStr">
        <is>
          <t>担当</t>
        </is>
      </c>
      <c r="F5" s="4" t="inlineStr">
        <is>
          <t>進捗</t>
        </is>
      </c>
      <c r="G5" s="4" t="inlineStr">
        <is>
          <t>状態</t>
        </is>
      </c>
      <c r="H5" s="4" t="inlineStr">
        <is>
          <t>URL記入欄</t>
        </is>
      </c>
      <c r="I5" s="4" t="inlineStr">
        <is>
          <t>メモ</t>
        </is>
      </c>
    </row>
    <row r="6" ht="32" customHeight="1">
      <c r="A6" s="13" t="inlineStr">
        <is>
          <t>広告</t>
        </is>
      </c>
      <c r="B6" s="8" t="inlineStr">
        <is>
          <t>P2</t>
        </is>
      </c>
      <c r="C6" s="5" t="inlineStr">
        <is>
          <t>広告制作</t>
        </is>
      </c>
      <c r="D6" s="5" t="inlineStr">
        <is>
          <t>RC法人開拓 · 地域企業への入口</t>
        </is>
      </c>
      <c r="E6" s="13" t="inlineStr">
        <is>
          <t>大熊・片山</t>
        </is>
      </c>
      <c r="F6" s="31" t="n">
        <v>0</v>
      </c>
      <c r="G6" s="35" t="inlineStr">
        <is>
          <t>未着手</t>
        </is>
      </c>
      <c r="H6" s="33" t="n"/>
      <c r="I6" s="5" t="inlineStr">
        <is>
          <t>バナー・原稿などのクリエイティブ</t>
        </is>
      </c>
    </row>
    <row r="7" ht="32" customHeight="1">
      <c r="A7" s="13" t="inlineStr">
        <is>
          <t>広告</t>
        </is>
      </c>
      <c r="B7" s="8" t="inlineStr">
        <is>
          <t>P2</t>
        </is>
      </c>
      <c r="C7" s="5" t="inlineStr">
        <is>
          <t>広告運用</t>
        </is>
      </c>
      <c r="D7" s="5" t="inlineStr">
        <is>
          <t>RC法人開拓／LMP加盟開発</t>
        </is>
      </c>
      <c r="E7" s="13" t="inlineStr">
        <is>
          <t>池之上・片山</t>
        </is>
      </c>
      <c r="F7" s="31" t="n">
        <v>0</v>
      </c>
      <c r="G7" s="35" t="inlineStr">
        <is>
          <t>未着手</t>
        </is>
      </c>
      <c r="H7" s="33" t="n"/>
      <c r="I7" s="5" t="inlineStr">
        <is>
          <t>出稿・予算・改善</t>
        </is>
      </c>
    </row>
    <row r="8" ht="32" customHeight="1">
      <c r="A8" s="13" t="inlineStr">
        <is>
          <t>広告</t>
        </is>
      </c>
      <c r="B8" s="8" t="inlineStr">
        <is>
          <t>P2</t>
        </is>
      </c>
      <c r="C8" s="5" t="inlineStr">
        <is>
          <t>広告クリエイティブチェック</t>
        </is>
      </c>
      <c r="D8" s="5" t="inlineStr">
        <is>
          <t>LMP事業 · 全体品質確認</t>
        </is>
      </c>
      <c r="E8" s="13" t="inlineStr">
        <is>
          <t>白石</t>
        </is>
      </c>
      <c r="F8" s="31" t="n">
        <v>0</v>
      </c>
      <c r="G8" s="35" t="inlineStr">
        <is>
          <t>未着手</t>
        </is>
      </c>
      <c r="H8" s="33" t="n"/>
      <c r="I8" s="5" t="inlineStr">
        <is>
          <t>出す前の品質確認</t>
        </is>
      </c>
    </row>
    <row r="9" ht="32" customHeight="1">
      <c r="A9" s="13" t="inlineStr">
        <is>
          <t>広告</t>
        </is>
      </c>
      <c r="B9" s="8" t="inlineStr">
        <is>
          <t>P3</t>
        </is>
      </c>
      <c r="C9" s="5" t="inlineStr">
        <is>
          <t>広告表示のチェック（景表法）</t>
        </is>
      </c>
      <c r="D9" s="5" t="inlineStr">
        <is>
          <t>社内業務 · 法務・業法</t>
        </is>
      </c>
      <c r="E9" s="13" t="inlineStr">
        <is>
          <t>社長・寺井・池之上・弁護士</t>
        </is>
      </c>
      <c r="F9" s="31" t="n">
        <v>0</v>
      </c>
      <c r="G9" s="35" t="inlineStr">
        <is>
          <t>未着手</t>
        </is>
      </c>
      <c r="H9" s="33" t="n"/>
      <c r="I9" s="5" t="inlineStr">
        <is>
          <t>言い切り表現・実績表示の法務確認</t>
        </is>
      </c>
    </row>
    <row r="10" ht="32" customHeight="1">
      <c r="A10" s="13" t="inlineStr">
        <is>
          <t>広告</t>
        </is>
      </c>
      <c r="B10" s="8" t="inlineStr">
        <is>
          <t>P3</t>
        </is>
      </c>
      <c r="C10" s="5" t="inlineStr">
        <is>
          <t>広報・告知（LP・SNS）4件</t>
        </is>
      </c>
      <c r="D10" s="5" t="inlineStr">
        <is>
          <t>RC／RCP／HI／PP · REALIZE QUEST</t>
        </is>
      </c>
      <c r="E10" s="13" t="inlineStr">
        <is>
          <t>白石</t>
        </is>
      </c>
      <c r="F10" s="31" t="n">
        <v>0</v>
      </c>
      <c r="G10" s="35" t="inlineStr">
        <is>
          <t>未着手</t>
        </is>
      </c>
      <c r="H10" s="33" t="n"/>
      <c r="I10" s="5" t="inlineStr"/>
    </row>
    <row r="11">
      <c r="E11" s="25" t="inlineStr">
        <is>
          <t>平均</t>
        </is>
      </c>
      <c r="F11" s="37">
        <f>AVERAGE(F6:F10)</f>
        <v/>
      </c>
      <c r="G11" s="28">
        <f>COUNTIF(G6:G10,"未着手")&amp;" 件未着手"</f>
        <v/>
      </c>
      <c r="H11" s="28">
        <f>COUNTA(H6:H10)&amp;" 件 登録済み"</f>
        <v/>
      </c>
    </row>
  </sheetData>
  <autoFilter ref="A5:I10"/>
  <conditionalFormatting sqref="F6:F10">
    <cfRule type="dataBar" priority="1">
      <dataBar showValue="1">
        <cfvo type="num" val="0"/>
        <cfvo type="num" val="1"/>
        <color rgb="001F4E6B"/>
      </dataBar>
    </cfRule>
  </conditionalFormatting>
  <dataValidations count="2">
    <dataValidation sqref="F6:F10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G6:G10" showDropDown="0" showInputMessage="0" showErrorMessage="0" allowBlank="0" promptTitle="状態を選ぶ" prompt="未着手／進行中／確認待ち" type="list">
      <formula1>"未着手,進行中,確認待ち"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41" t="inlineStr">
        <is>
          <t>凡例と出典</t>
        </is>
      </c>
    </row>
    <row r="3">
      <c r="A3" s="42" t="inlineStr">
        <is>
          <t>LPシートの4段</t>
        </is>
      </c>
    </row>
    <row r="4" ht="36" customHeight="1">
      <c r="A4" s="43" t="inlineStr">
        <is>
          <t>①原稿・デザイン</t>
        </is>
      </c>
      <c r="B4" s="44" t="inlineStr">
        <is>
          <t>本編の文章とデザインが最後まで通っている</t>
        </is>
      </c>
    </row>
    <row r="5" ht="36" customHeight="1">
      <c r="A5" s="43" t="inlineStr">
        <is>
          <t>②付随ページ</t>
        </is>
      </c>
      <c r="B5" s="44" t="inlineStr">
        <is>
          <t>資料請求・会社概要など、必要な付随ページが揃っている</t>
        </is>
      </c>
    </row>
    <row r="6" ht="36" customHeight="1">
      <c r="A6" s="43" t="inlineStr">
        <is>
          <t>③問い合わせ導線</t>
        </is>
      </c>
      <c r="B6" s="44" t="inlineStr">
        <is>
          <t>ボタンの行き先が実在し、問い合わせが届く先につながっている</t>
        </is>
      </c>
    </row>
    <row r="7" ht="36" customHeight="1">
      <c r="A7" s="43" t="inlineStr">
        <is>
          <t>④本番公開</t>
        </is>
      </c>
      <c r="B7" s="44" t="inlineStr">
        <is>
          <t>独自ドメインで公開され、J列に本番URLが入っている（自動判定）</t>
        </is>
      </c>
    </row>
    <row r="9">
      <c r="A9" s="42" t="inlineStr">
        <is>
          <t>記号</t>
        </is>
      </c>
    </row>
    <row r="10" ht="36" customHeight="1">
      <c r="A10" s="43" t="inlineStr">
        <is>
          <t>○</t>
        </is>
      </c>
      <c r="B10" s="44" t="inlineStr">
        <is>
          <t>できている</t>
        </is>
      </c>
    </row>
    <row r="11" ht="36" customHeight="1">
      <c r="A11" s="43" t="inlineStr">
        <is>
          <t>△</t>
        </is>
      </c>
      <c r="B11" s="44" t="inlineStr">
        <is>
          <t>仮づけ。メーラーを開くだけ、または行き先が「#」のまま</t>
        </is>
      </c>
    </row>
    <row r="12" ht="36" customHeight="1">
      <c r="A12" s="43" t="inlineStr">
        <is>
          <t>×</t>
        </is>
      </c>
      <c r="B12" s="44" t="inlineStr">
        <is>
          <t>手つかず／ページが存在しない</t>
        </is>
      </c>
    </row>
    <row r="14">
      <c r="A14" s="42" t="inlineStr">
        <is>
          <t>状態（eラーニング・動画／広告シート）</t>
        </is>
      </c>
    </row>
    <row r="15" ht="36" customHeight="1">
      <c r="A15" s="43" t="inlineStr">
        <is>
          <t>確認待ち</t>
        </is>
      </c>
      <c r="B15" s="44" t="inlineStr">
        <is>
          <t>作業は終わり、誰かの確認を待っている</t>
        </is>
      </c>
    </row>
    <row r="16" ht="36" customHeight="1">
      <c r="A16" s="43" t="inlineStr">
        <is>
          <t>進行中</t>
        </is>
      </c>
      <c r="B16" s="44" t="inlineStr">
        <is>
          <t>いま手が動いている</t>
        </is>
      </c>
    </row>
    <row r="17" ht="36" customHeight="1">
      <c r="A17" s="43" t="inlineStr">
        <is>
          <t>未着手</t>
        </is>
      </c>
      <c r="B17" s="44" t="inlineStr">
        <is>
          <t>まだ始まっていない</t>
        </is>
      </c>
    </row>
    <row r="18" ht="36" customHeight="1">
      <c r="A18" s="43" t="inlineStr">
        <is>
          <t>P2／P3</t>
        </is>
      </c>
      <c r="B18" s="44" t="inlineStr">
        <is>
          <t>工程表の優先度。P3は「中核が回り出してから戻ってくる」もの</t>
        </is>
      </c>
    </row>
    <row r="19" ht="36" customHeight="1">
      <c r="A19" s="43" t="inlineStr">
        <is>
          <t>赤い担当名</t>
        </is>
      </c>
      <c r="B19" s="44" t="inlineStr">
        <is>
          <t>担当が「未定」の仕事。誰かを決めないと進みません</t>
        </is>
      </c>
    </row>
    <row r="21">
      <c r="A21" s="42" t="inlineStr">
        <is>
          <t>使い方</t>
        </is>
      </c>
    </row>
    <row r="22" ht="36" customHeight="1">
      <c r="A22" s="43" t="inlineStr">
        <is>
          <t>進捗のセル（水色）</t>
        </is>
      </c>
      <c r="B22" s="44" t="inlineStr">
        <is>
          <t>クリックすると右に▼が出ます。0%〜100%を5%きざみで選べます（直接入力も可）。選ぶとセルの中のバーがその長さに変わります。</t>
        </is>
      </c>
    </row>
    <row r="23" ht="36" customHeight="1">
      <c r="A23" s="43" t="inlineStr">
        <is>
          <t>状態のセル（水色）</t>
        </is>
      </c>
      <c r="B23" s="44" t="inlineStr">
        <is>
          <t>クリックして 未着手／進行中／確認待ち を選びます。</t>
        </is>
      </c>
    </row>
    <row r="24" ht="36" customHeight="1">
      <c r="A24" s="43" t="inlineStr">
        <is>
          <t>LPの○△×（水色）</t>
        </is>
      </c>
      <c r="B24" s="44" t="inlineStr">
        <is>
          <t>E〜G列。クリックして選び直せます。H列の④本番公開はJ列のURL有無から自動で決まります。</t>
        </is>
      </c>
    </row>
    <row r="25" ht="36" customHeight="1">
      <c r="A25" s="43" t="inlineStr">
        <is>
          <t>列見出しの▼</t>
        </is>
      </c>
      <c r="B25" s="44" t="inlineStr">
        <is>
          <t>各シートの見出し行にオートフィルタが付いています。▼から値を選ぶと、その行だけ表示されます。複数の列を組み合わせられます。</t>
        </is>
      </c>
    </row>
    <row r="26" ht="36" customHeight="1">
      <c r="A26" s="43" t="inlineStr">
        <is>
          <t>黄色の記入欄</t>
        </is>
      </c>
      <c r="B26" s="44" t="inlineStr">
        <is>
          <t>公開したURL・動画URL・広告の入稿先を貼ります。</t>
        </is>
      </c>
    </row>
    <row r="27" ht="36" customHeight="1">
      <c r="A27" s="43" t="inlineStr">
        <is>
          <t>自動で動く数字</t>
        </is>
      </c>
      <c r="B27" s="44" t="inlineStr">
        <is>
          <t>LPシートは④と到達度、各シートの最下段の平均・件数が数式です。手で書き換えないでください。</t>
        </is>
      </c>
    </row>
    <row r="29">
      <c r="A29" s="42" t="inlineStr">
        <is>
          <t>出典</t>
        </is>
      </c>
    </row>
    <row r="30" ht="36" customHeight="1">
      <c r="A30" s="43" t="inlineStr">
        <is>
          <t>LPシート</t>
        </is>
      </c>
      <c r="B30" s="44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31" ht="36" customHeight="1">
      <c r="A31" s="43" t="inlineStr">
        <is>
          <t>進捗％と担当</t>
        </is>
      </c>
      <c r="B31" s="44" t="inlineStr">
        <is>
          <t>社内の「REALIZE OS 制作MASTER」(2026-09-03) と「仕事の棚卸し」(2026-09-02) の数値をそのまま引いています。</t>
        </is>
      </c>
    </row>
    <row r="32" ht="36" customHeight="1">
      <c r="A32" s="43" t="inlineStr">
        <is>
          <t>担当の食い違い</t>
        </is>
      </c>
      <c r="B32" s="44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33" ht="36" customHeight="1">
      <c r="A33" s="43" t="inlineStr">
        <is>
          <t>未確認</t>
        </is>
      </c>
      <c r="B33" s="44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4" ht="36" customHeight="1">
      <c r="A34" s="43" t="inlineStr">
        <is>
          <t>調査日</t>
        </is>
      </c>
      <c r="B34" s="44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2026-09-03T06:09:40Z</dcterms:created>
  <dcterms:modified xsi:type="dcterms:W3CDTF">2026-09-03T06:09:40Z</dcterms:modified>
</cp:coreProperties>
</file>