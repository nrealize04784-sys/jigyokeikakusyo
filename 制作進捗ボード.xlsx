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" sheetId="1" state="visible" r:id="rId1"/>
    <sheet name="選択肢" sheetId="2" state="hidden" r:id="rId2"/>
    <sheet name="eラーニング・動画" sheetId="3" state="visible" r:id="rId3"/>
    <sheet name="広告" sheetId="4" state="visible" r:id="rId4"/>
    <sheet name="凡例と出典" sheetId="5" state="visible" r:id="rId5"/>
  </sheets>
  <definedNames>
    <definedName name="_xlnm._FilterDatabase" localSheetId="0" hidden="1">'LP'!$A$5:$I$16</definedName>
    <definedName name="_xlnm._FilterDatabase" localSheetId="2" hidden="1">'eラーニング・動画'!$A$5:$G$21</definedName>
    <definedName name="_xlnm._FilterDatabase" localSheetId="3" hidden="1">'広告'!$A$5:$G$10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／11&quot;"/>
  </numFmts>
  <fonts count="18">
    <font>
      <name val="Calibri"/>
      <family val="2"/>
      <color theme="1"/>
      <sz val="11"/>
      <scheme val="minor"/>
    </font>
    <font>
      <name val="Meiryo"/>
      <b val="1"/>
      <sz val="9"/>
    </font>
    <font>
      <name val="Meiryo"/>
      <sz val="9"/>
    </font>
    <font>
      <name val="Meiryo"/>
      <b val="1"/>
      <color rgb="001B2330"/>
      <sz val="16"/>
    </font>
    <font>
      <name val="Meiryo"/>
      <color rgb="006E747D"/>
      <sz val="9"/>
    </font>
    <font>
      <name val="Meiryo"/>
      <b val="1"/>
      <color rgb="008A5A12"/>
      <sz val="9"/>
    </font>
    <font>
      <name val="Meiryo"/>
      <b val="1"/>
      <color rgb="00FFFFFF"/>
      <sz val="9"/>
    </font>
    <font>
      <name val="Meiryo"/>
      <color rgb="001B2330"/>
      <sz val="9"/>
    </font>
    <font>
      <name val="Meiryo"/>
      <color rgb="000000FF"/>
      <sz val="9"/>
    </font>
    <font>
      <name val="Meiryo"/>
      <b val="1"/>
      <color rgb="001B2330"/>
      <sz val="9"/>
    </font>
    <font>
      <name val="Meiryo"/>
      <b val="1"/>
      <color rgb="001F4E6B"/>
      <sz val="9"/>
    </font>
    <font>
      <name val="Meiryo"/>
      <b val="1"/>
      <color rgb="00993124"/>
      <sz val="9"/>
    </font>
    <font>
      <name val="Meiryo"/>
      <b val="1"/>
      <color rgb="006E747D"/>
      <sz val="9"/>
    </font>
    <font>
      <name val="Meiryo"/>
      <b val="1"/>
      <color rgb="001C6647"/>
      <sz val="9"/>
    </font>
    <font>
      <name val="Meiryo"/>
      <b val="1"/>
      <color rgb="001F4E6B"/>
      <sz val="11"/>
    </font>
    <font>
      <name val="Meiryo"/>
      <color rgb="001F4E6B"/>
      <sz val="9"/>
      <u val="single"/>
    </font>
    <font>
      <name val="Meiryo"/>
      <b val="1"/>
      <color rgb="001B2330"/>
      <sz val="15"/>
    </font>
    <font>
      <name val="Meiryo"/>
      <b val="1"/>
      <color rgb="001F4E6B"/>
      <sz val="12"/>
    </font>
  </fonts>
  <fills count="6">
    <fill>
      <patternFill/>
    </fill>
    <fill>
      <patternFill patternType="gray125"/>
    </fill>
    <fill>
      <patternFill patternType="solid">
        <fgColor rgb="001F4E6B"/>
      </patternFill>
    </fill>
    <fill>
      <patternFill patternType="solid">
        <fgColor rgb="00EAF1F6"/>
      </patternFill>
    </fill>
    <fill>
      <patternFill patternType="solid">
        <fgColor rgb="00FFF3C4"/>
      </patternFill>
    </fill>
    <fill>
      <patternFill patternType="solid">
        <fgColor rgb="00FAF8F3"/>
      </patternFill>
    </fill>
  </fills>
  <borders count="3">
    <border>
      <left/>
      <right/>
      <top/>
      <bottom/>
      <diagonal/>
    </border>
    <border>
      <left style="thin">
        <color rgb="00DFD8CA"/>
      </left>
      <right style="thin">
        <color rgb="00DFD8CA"/>
      </right>
      <top style="thin">
        <color rgb="00DFD8CA"/>
      </top>
      <bottom style="thin">
        <color rgb="00DFD8CA"/>
      </bottom>
    </border>
    <border>
      <top style="medium">
        <color rgb="001F4E6B"/>
      </top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vertical="center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right"/>
    </xf>
    <xf numFmtId="164" fontId="10" fillId="0" borderId="2" applyAlignment="1" pivotButton="0" quotePrefix="0" xfId="0">
      <alignment horizontal="center"/>
    </xf>
    <xf numFmtId="0" fontId="10" fillId="0" borderId="2" pivotButton="0" quotePrefix="0" xfId="0"/>
    <xf numFmtId="0" fontId="1" fillId="0" borderId="0" pivotButton="0" quotePrefix="0" xfId="0"/>
    <xf numFmtId="9" fontId="2" fillId="0" borderId="0" pivotButton="0" quotePrefix="0" xfId="0"/>
    <xf numFmtId="0" fontId="2" fillId="0" borderId="0" pivotButton="0" quotePrefix="0" xfId="0"/>
    <xf numFmtId="0" fontId="7" fillId="3" borderId="1" applyAlignment="1" pivotButton="0" quotePrefix="0" xfId="0">
      <alignment horizontal="left" vertical="center"/>
    </xf>
    <xf numFmtId="9" fontId="7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9" fontId="10" fillId="0" borderId="2" applyAlignment="1" pivotButton="0" quotePrefix="0" xfId="0">
      <alignment horizontal="center"/>
    </xf>
    <xf numFmtId="0" fontId="14" fillId="0" borderId="0" pivotButton="0" quotePrefix="0" xfId="0"/>
    <xf numFmtId="0" fontId="7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9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Meiryo"/>
        <b val="1"/>
        <color rgb="00993124"/>
        <sz val="9"/>
      </font>
    </dxf>
    <dxf>
      <font>
        <name val="Meiryo"/>
        <b val="1"/>
        <color rgb="008A5A12"/>
        <sz val="9"/>
      </font>
    </dxf>
    <dxf>
      <font>
        <name val="Meiryo"/>
        <b val="1"/>
        <color rgb="001C6647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制作進捗ボード</author>
  </authors>
  <commentList>
    <comment ref="G6" authorId="0" shapeId="0">
      <text>
        <t>公開した本番LPのURLをここに貼ってください。
入力すると本番公開が○になります。</t>
      </text>
    </comment>
  </commentList>
</comments>
</file>

<file path=xl/comments/comment2.xml><?xml version="1.0" encoding="utf-8"?>
<comments xmlns="http://schemas.openxmlformats.org/spreadsheetml/2006/main">
  <authors>
    <author>制作進捗ボード</author>
  </authors>
  <commentList>
    <comment ref="C6" authorId="0" shapeId="0">
      <text>
        <t>クリックすると▼が出ます。一覧から選ぶか、直接書いてください。</t>
      </text>
    </comment>
  </commentList>
</comments>
</file>

<file path=xl/comments/comment3.xml><?xml version="1.0" encoding="utf-8"?>
<comments xmlns="http://schemas.openxmlformats.org/spreadsheetml/2006/main">
  <authors>
    <author>制作進捗ボード</author>
  </authors>
  <commentList>
    <comment ref="C6" authorId="0" shapeId="0">
      <text>
        <t>クリックすると▼が出ます。一覧から選ぶか、直接書いてください。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https://claude.ai/code/artifact/1ce7243d-ad99-47d0-b0d0-ad85c8cc7f16" TargetMode="External" Id="rId1" /><Relationship Type="http://schemas.openxmlformats.org/officeDocument/2006/relationships/hyperlink" Target="https://claude.ai/code/artifact/0ebdd065-594c-447b-a2d6-c1eb4c80d933" TargetMode="External" Id="rId2" /><Relationship Type="http://schemas.openxmlformats.org/officeDocument/2006/relationships/hyperlink" Target="https://claude.ai/code/artifact/fc25e6a1-4589-43ce-8f16-5b416e3fc619" TargetMode="External" Id="rId3" /><Relationship Type="http://schemas.openxmlformats.org/officeDocument/2006/relationships/hyperlink" Target="https://claude.ai/code/artifact/98260a43-003c-4653-af3c-d667139ea6f8" TargetMode="External" Id="rId4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2" customWidth="1" min="2" max="2"/>
    <col width="34" customWidth="1" min="3" max="3"/>
    <col width="14" customWidth="1" min="4" max="4"/>
    <col width="15" customWidth="1" min="5" max="5"/>
    <col width="11" customWidth="1" min="6" max="6"/>
    <col width="36" customWidth="1" min="7" max="7"/>
    <col width="58" customWidth="1" min="8" max="8"/>
    <col width="11" customWidth="1" min="9" max="9"/>
  </cols>
  <sheetData>
    <row r="1">
      <c r="A1" s="1" t="inlineStr">
        <is>
          <t>制作進捗ボード ─ LP</t>
        </is>
      </c>
    </row>
    <row r="2">
      <c r="A2" s="2" t="inlineStr">
        <is>
          <t>これまでに作った11本のLP。実物を1ページずつ読んで確認したもの。調査日 2026-09-03</t>
        </is>
      </c>
    </row>
    <row r="3">
      <c r="A3" s="3" t="inlineStr">
        <is>
          <t>水色のセルはクリックすると▼が出て選べます。黄色のG列にURLを入れると、本番公開が自動で○になります。</t>
        </is>
      </c>
    </row>
    <row r="5" ht="34" customHeight="1">
      <c r="A5" s="4" t="inlineStr">
        <is>
          <t>案件</t>
        </is>
      </c>
      <c r="B5" s="4" t="inlineStr">
        <is>
          <t>LP名</t>
        </is>
      </c>
      <c r="C5" s="4" t="inlineStr">
        <is>
          <t>デザインの方向</t>
        </is>
      </c>
      <c r="D5" s="4" t="inlineStr">
        <is>
          <t>原稿・デザイン</t>
        </is>
      </c>
      <c r="E5" s="4" t="inlineStr">
        <is>
          <t>問い合わせ導線</t>
        </is>
      </c>
      <c r="F5" s="4" t="inlineStr">
        <is>
          <t>本番公開</t>
        </is>
      </c>
      <c r="G5" s="4" t="inlineStr">
        <is>
          <t>本番URL（記入欄）</t>
        </is>
      </c>
      <c r="H5" s="4" t="inlineStr">
        <is>
          <t>残っていること</t>
        </is>
      </c>
      <c r="I5" s="4" t="inlineStr">
        <is>
          <t>更新日</t>
        </is>
      </c>
    </row>
    <row r="6" ht="46" customHeight="1">
      <c r="A6" s="5" t="inlineStr">
        <is>
          <t>REALIZE CLUB（法人向け）</t>
        </is>
      </c>
      <c r="B6" s="6" t="inlineStr">
        <is>
          <t>会社が、社員の人生を守る時代へ。</t>
        </is>
      </c>
      <c r="C6" s="6" t="inlineStr">
        <is>
          <t>深緑 × 和モダン／昭和と令和の対比</t>
        </is>
      </c>
      <c r="D6" s="7" t="inlineStr">
        <is>
          <t>○</t>
        </is>
      </c>
      <c r="E6" s="7" t="inlineStr">
        <is>
          <t>△</t>
        </is>
      </c>
      <c r="F6" s="8">
        <f>IF(G6="","×","○")</f>
        <v/>
      </c>
      <c r="G6" s="9" t="n"/>
      <c r="H6" s="6" t="inlineStr">
        <is>
          <t>送信ボタンがメーラーを開くだけ。受付フォームの実装が必要／会社概要ページが未作成／本番ドメインへの公開</t>
        </is>
      </c>
      <c r="I6" s="8" t="inlineStr">
        <is>
          <t>2026-09-03</t>
        </is>
      </c>
    </row>
    <row r="7" ht="46" customHeight="1">
      <c r="A7" s="5" t="inlineStr">
        <is>
          <t>REALIZE CLUB（法人向け）</t>
        </is>
      </c>
      <c r="B7" s="10" t="inlineStr">
        <is>
          <t>会社が社員の人生を支える時代へ</t>
        </is>
      </c>
      <c r="C7" s="10" t="inlineStr">
        <is>
          <t>星空タウン／クリーム × 濃紺のイラスト</t>
        </is>
      </c>
      <c r="D7" s="7" t="inlineStr">
        <is>
          <t>○</t>
        </is>
      </c>
      <c r="E7" s="7" t="inlineStr">
        <is>
          <t>△</t>
        </is>
      </c>
      <c r="F7" s="11">
        <f>IF(G7="","×","○")</f>
        <v/>
      </c>
      <c r="G7" s="9" t="n"/>
      <c r="H7" s="10" t="inlineStr">
        <is>
          <t>3ページ揃っている唯一のRC案。採用するかの判断／送信はメーラー起動のみ</t>
        </is>
      </c>
      <c r="I7" s="11" t="inlineStr">
        <is>
          <t>2026-08-31</t>
        </is>
      </c>
    </row>
    <row r="8" ht="46" customHeight="1">
      <c r="A8" s="5" t="inlineStr">
        <is>
          <t>REALIZE CLUB（法人向け）</t>
        </is>
      </c>
      <c r="B8" s="6" t="inlineStr">
        <is>
          <t>困る前に、灯す。</t>
        </is>
      </c>
      <c r="C8" s="6" t="inlineStr">
        <is>
          <t>漆黒 × 炎のグラデーション</t>
        </is>
      </c>
      <c r="D8" s="7" t="inlineStr">
        <is>
          <t>○</t>
        </is>
      </c>
      <c r="E8" s="7" t="inlineStr">
        <is>
          <t>×</t>
        </is>
      </c>
      <c r="F8" s="8">
        <f>IF(G8="","×","○")</f>
        <v/>
      </c>
      <c r="G8" s="9" t="n"/>
      <c r="H8" s="6" t="inlineStr">
        <is>
          <t>kaisha.html ほかへの相対リンクが残り、単体では飛べない／会社概要ページの作成</t>
        </is>
      </c>
      <c r="I8" s="8" t="inlineStr">
        <is>
          <t>2026-08-31</t>
        </is>
      </c>
    </row>
    <row r="9" ht="46" customHeight="1">
      <c r="A9" s="5" t="inlineStr">
        <is>
          <t>REALIZE CLUB（法人向け）</t>
        </is>
      </c>
      <c r="B9" s="10" t="inlineStr">
        <is>
          <t>その安心、今がお得。</t>
        </is>
      </c>
      <c r="C9" s="10" t="inlineStr">
        <is>
          <t>スーパーの特売ポップ／白地に赤と黄</t>
        </is>
      </c>
      <c r="D9" s="7" t="inlineStr">
        <is>
          <t>○</t>
        </is>
      </c>
      <c r="E9" s="7" t="inlineStr">
        <is>
          <t>×</t>
        </is>
      </c>
      <c r="F9" s="11">
        <f>IF(G9="","×","○")</f>
        <v/>
      </c>
      <c r="G9" s="9" t="n"/>
      <c r="H9" s="10" t="inlineStr">
        <is>
          <t>リンクがすべてページ内アンカー。外部への導線が1本もない／会社概要ページ、送信先の設定</t>
        </is>
      </c>
      <c r="I9" s="11" t="inlineStr">
        <is>
          <t>2026-08-31</t>
        </is>
      </c>
    </row>
    <row r="10" ht="46" customHeight="1">
      <c r="A10" s="5" t="inlineStr">
        <is>
          <t>REALIZE CLUB（法人向け）</t>
        </is>
      </c>
      <c r="B10" s="6" t="inlineStr">
        <is>
          <t>社員が、溶けていく前に。</t>
        </is>
      </c>
      <c r="C10" s="6" t="inlineStr">
        <is>
          <t>アイスのメタファー／手描き風</t>
        </is>
      </c>
      <c r="D10" s="7" t="inlineStr">
        <is>
          <t>○</t>
        </is>
      </c>
      <c r="E10" s="7" t="inlineStr">
        <is>
          <t>×</t>
        </is>
      </c>
      <c r="F10" s="8">
        <f>IF(G10="","×","○")</f>
        <v/>
      </c>
      <c r="G10" s="9" t="n"/>
      <c r="H10" s="6" t="inlineStr">
        <is>
          <t>会社概要ページが未作成／送信はメーラー起動のみ</t>
        </is>
      </c>
      <c r="I10" s="8" t="inlineStr">
        <is>
          <t>2026-08-28</t>
        </is>
      </c>
    </row>
    <row r="11" ht="46" customHeight="1">
      <c r="A11" s="5" t="inlineStr">
        <is>
          <t>LIFE MAKE PARTNERS（加盟店募集）</t>
        </is>
      </c>
      <c r="B11" s="10" t="inlineStr">
        <is>
          <t>家より先に、人生の話を。</t>
        </is>
      </c>
      <c r="C11" s="10" t="inlineStr">
        <is>
          <t>韓国料理店の看板／木の壁 × 生成りの横断幕</t>
        </is>
      </c>
      <c r="D11" s="7" t="inlineStr">
        <is>
          <t>○</t>
        </is>
      </c>
      <c r="E11" s="7" t="inlineStr">
        <is>
          <t>○</t>
        </is>
      </c>
      <c r="F11" s="11">
        <f>IF(G11="","×","○")</f>
        <v/>
      </c>
      <c r="G11" s="9" t="n"/>
      <c r="H11" s="10" t="inlineStr">
        <is>
          <t>本番ドメインへの公開だけが残り。問い合わせはLINE公式（lin.ee/WHYApuM）に集約済み</t>
        </is>
      </c>
      <c r="I11" s="11" t="inlineStr">
        <is>
          <t>2026-09-03</t>
        </is>
      </c>
    </row>
    <row r="12" ht="46" customHeight="1">
      <c r="A12" s="5" t="inlineStr">
        <is>
          <t>LIFE MAKE PARTNERS（加盟店募集）</t>
        </is>
      </c>
      <c r="B12" s="6" t="inlineStr">
        <is>
          <t>いつも同じ集客ばっかやってんじゃねぇ！</t>
        </is>
      </c>
      <c r="C12" s="6" t="inlineStr">
        <is>
          <t>喝・挑発ポスター／赤と黄の斜めストライプ</t>
        </is>
      </c>
      <c r="D12" s="7" t="inlineStr">
        <is>
          <t>○</t>
        </is>
      </c>
      <c r="E12" s="7" t="inlineStr">
        <is>
          <t>×</t>
        </is>
      </c>
      <c r="F12" s="8">
        <f>IF(G12="","×","○")</f>
        <v/>
      </c>
      <c r="G12" s="9" t="n"/>
      <c r="H12" s="6" t="inlineStr">
        <is>
          <t>kaisha-katsu.html ほかへの相対リンクが残り飛べない／行き先が「#」のままのボタンが2つ</t>
        </is>
      </c>
      <c r="I12" s="8" t="inlineStr">
        <is>
          <t>2026-08-28</t>
        </is>
      </c>
    </row>
    <row r="13" ht="46" customHeight="1">
      <c r="A13" s="5" t="inlineStr">
        <is>
          <t>LIFE MAKE PARTNERS（加盟店募集）</t>
        </is>
      </c>
      <c r="B13" s="10" t="inlineStr">
        <is>
          <t>加盟資格は、人生への愛。ただそれだけ。</t>
        </is>
      </c>
      <c r="C13" s="10" t="inlineStr">
        <is>
          <t>星空タウン／RC星空案と同じ世界観</t>
        </is>
      </c>
      <c r="D13" s="7" t="inlineStr">
        <is>
          <t>○</t>
        </is>
      </c>
      <c r="E13" s="7" t="inlineStr">
        <is>
          <t>△</t>
        </is>
      </c>
      <c r="F13" s="11">
        <f>IF(G13="","×","○")</f>
        <v/>
      </c>
      <c r="G13" s="9" t="n"/>
      <c r="H13" s="10" t="inlineStr">
        <is>
          <t>行き先が「#」のままのボタンが2つ／統廃合の判断</t>
        </is>
      </c>
      <c r="I13" s="11" t="inlineStr">
        <is>
          <t>2026-08-24</t>
        </is>
      </c>
    </row>
    <row r="14" ht="46" customHeight="1">
      <c r="A14" s="5" t="inlineStr">
        <is>
          <t>まちの相談窓口</t>
        </is>
      </c>
      <c r="B14" s="6" t="inlineStr">
        <is>
          <t>不動産屋が、まちの相談窓口になる。</t>
        </is>
      </c>
      <c r="C14" s="6" t="inlineStr">
        <is>
          <t>銭湯ポスター（リソグラフ2色刷り）／LINE誘導版</t>
        </is>
      </c>
      <c r="D14" s="7" t="inlineStr">
        <is>
          <t>○</t>
        </is>
      </c>
      <c r="E14" s="7" t="inlineStr">
        <is>
          <t>△</t>
        </is>
      </c>
      <c r="F14" s="8">
        <f>IF(G14="","×","○")</f>
        <v/>
      </c>
      <c r="G14" s="9" t="n"/>
      <c r="H14" s="6" t="inlineStr">
        <is>
          <t>行き先が「#」のままのリンクが2つ残っている／本番ドメインへの公開</t>
        </is>
      </c>
      <c r="I14" s="8" t="inlineStr">
        <is>
          <t>2026-09-03</t>
        </is>
      </c>
    </row>
    <row r="15" ht="46" customHeight="1">
      <c r="A15" s="5" t="inlineStr">
        <is>
          <t>まちの相談窓口</t>
        </is>
      </c>
      <c r="B15" s="10" t="inlineStr">
        <is>
          <t>まちの相談窓口（フォーム版）</t>
        </is>
      </c>
      <c r="C15" s="10" t="inlineStr">
        <is>
          <t>銭湯ポスター／申込フォーム内蔵</t>
        </is>
      </c>
      <c r="D15" s="7" t="inlineStr">
        <is>
          <t>○</t>
        </is>
      </c>
      <c r="E15" s="7" t="inlineStr">
        <is>
          <t>△</t>
        </is>
      </c>
      <c r="F15" s="11">
        <f>IF(G15="","×","○")</f>
        <v/>
      </c>
      <c r="G15" s="9" t="n"/>
      <c r="H15" s="10" t="inlineStr">
        <is>
          <t>LINE誘導版に置き換わっている。残すか消すかの判断</t>
        </is>
      </c>
      <c r="I15" s="11" t="inlineStr">
        <is>
          <t>2026-08-20</t>
        </is>
      </c>
    </row>
    <row r="16" ht="46" customHeight="1">
      <c r="A16" s="5" t="inlineStr">
        <is>
          <t>不動産FC加盟</t>
        </is>
      </c>
      <c r="B16" s="6" t="inlineStr">
        <is>
          <t>収益が積み上がる不動産FC加盟へ。</t>
        </is>
      </c>
      <c r="C16" s="6" t="inlineStr">
        <is>
          <t>ボクシング／黒地 × 赤とゴールド</t>
        </is>
      </c>
      <c r="D16" s="7" t="inlineStr">
        <is>
          <t>○</t>
        </is>
      </c>
      <c r="E16" s="7" t="inlineStr">
        <is>
          <t>×</t>
        </is>
      </c>
      <c r="F16" s="8">
        <f>IF(G16="","×","○")</f>
        <v/>
      </c>
      <c r="G16" s="9" t="n"/>
      <c r="H16" s="6" t="inlineStr">
        <is>
          <t>ページのタイトルタグが空。共有すると名前なしで出る／資料請求・会社概要ページ、送信先の設定</t>
        </is>
      </c>
      <c r="I16" s="8" t="inlineStr">
        <is>
          <t>2026-08-19</t>
        </is>
      </c>
    </row>
    <row r="17">
      <c r="C17" s="12" t="inlineStr">
        <is>
          <t>○の数</t>
        </is>
      </c>
      <c r="D17" s="13">
        <f>COUNTIF(D6:D16,"○")</f>
        <v/>
      </c>
      <c r="E17" s="13">
        <f>COUNTIF(E6:E16,"○")</f>
        <v/>
      </c>
      <c r="F17" s="13">
        <f>COUNTIF(F6:F16,"○")</f>
        <v/>
      </c>
      <c r="G17" s="14">
        <f>COUNTA(G6:G16)&amp;" 本 公開ずみ"</f>
        <v/>
      </c>
    </row>
  </sheetData>
  <autoFilter ref="A5:I16"/>
  <conditionalFormatting sqref="D6:F16">
    <cfRule type="cellIs" priority="1" operator="equal" dxfId="0">
      <formula>"×"</formula>
    </cfRule>
    <cfRule type="cellIs" priority="2" operator="equal" dxfId="1">
      <formula>"△"</formula>
    </cfRule>
    <cfRule type="cellIs" priority="3" operator="equal" dxfId="2">
      <formula>"○"</formula>
    </cfRule>
  </conditionalFormatting>
  <dataValidations count="2">
    <dataValidation sqref="A6:A16" showDropDown="0" showInputMessage="0" showErrorMessage="0" allowBlank="0" promptTitle="案件を選ぶ" prompt="どの案件のLPかを選びます" type="list">
      <formula1>'選択肢'!$B$2:$B$5</formula1>
    </dataValidation>
    <dataValidation sqref="D6:E16" showDropDown="0" showInputMessage="0" showErrorMessage="0" allowBlank="0" promptTitle="選んでください" prompt="○＝できている／△＝仮づけ／×＝手つかず" type="list">
      <formula1>"○,△,×"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2" max="2"/>
    <col width="30" customWidth="1" min="3" max="3"/>
    <col width="30" customWidth="1" min="4" max="4"/>
  </cols>
  <sheetData>
    <row r="1">
      <c r="A1" s="15" t="inlineStr">
        <is>
          <t>進捗</t>
        </is>
      </c>
      <c r="B1" s="15" t="inlineStr">
        <is>
          <t>案件</t>
        </is>
      </c>
      <c r="C1" s="15" t="inlineStr">
        <is>
          <t>状態</t>
        </is>
      </c>
      <c r="D1" s="15" t="inlineStr">
        <is>
          <t>担当</t>
        </is>
      </c>
    </row>
    <row r="2">
      <c r="A2" s="16" t="n">
        <v>0</v>
      </c>
      <c r="B2" s="17" t="inlineStr">
        <is>
          <t>REALIZE CLUB（法人向け）</t>
        </is>
      </c>
      <c r="C2" s="17" t="inlineStr">
        <is>
          <t>未着手</t>
        </is>
      </c>
      <c r="D2" s="17" t="inlineStr">
        <is>
          <t>未定</t>
        </is>
      </c>
    </row>
    <row r="3">
      <c r="A3" s="16" t="n">
        <v>0.05</v>
      </c>
      <c r="B3" s="17" t="inlineStr">
        <is>
          <t>LIFE MAKE PARTNERS（加盟店募集）</t>
        </is>
      </c>
      <c r="C3" s="17" t="inlineStr">
        <is>
          <t>進行中</t>
        </is>
      </c>
      <c r="D3" s="17" t="inlineStr">
        <is>
          <t>社長</t>
        </is>
      </c>
    </row>
    <row r="4">
      <c r="A4" s="16" t="n">
        <v>0.1</v>
      </c>
      <c r="B4" s="17" t="inlineStr">
        <is>
          <t>まちの相談窓口</t>
        </is>
      </c>
      <c r="C4" s="17" t="inlineStr">
        <is>
          <t>確認待ち</t>
        </is>
      </c>
      <c r="D4" s="17" t="inlineStr">
        <is>
          <t>白石</t>
        </is>
      </c>
    </row>
    <row r="5">
      <c r="A5" s="16" t="n">
        <v>0.15</v>
      </c>
      <c r="B5" s="17" t="inlineStr">
        <is>
          <t>不動産FC加盟</t>
        </is>
      </c>
      <c r="D5" s="17" t="inlineStr">
        <is>
          <t>池之上</t>
        </is>
      </c>
    </row>
    <row r="6">
      <c r="A6" s="16" t="n">
        <v>0.2</v>
      </c>
      <c r="D6" s="17" t="inlineStr">
        <is>
          <t>大熊</t>
        </is>
      </c>
    </row>
    <row r="7">
      <c r="A7" s="16" t="n">
        <v>0.25</v>
      </c>
      <c r="D7" s="17" t="inlineStr">
        <is>
          <t>片山</t>
        </is>
      </c>
    </row>
    <row r="8">
      <c r="A8" s="16" t="n">
        <v>0.3</v>
      </c>
      <c r="D8" s="17" t="inlineStr">
        <is>
          <t>寺井</t>
        </is>
      </c>
    </row>
    <row r="9">
      <c r="A9" s="16" t="n">
        <v>0.35</v>
      </c>
      <c r="D9" s="17" t="inlineStr">
        <is>
          <t>全員</t>
        </is>
      </c>
    </row>
    <row r="10">
      <c r="A10" s="16" t="n">
        <v>0.4</v>
      </c>
      <c r="D10" s="17" t="inlineStr">
        <is>
          <t>大熊・片山</t>
        </is>
      </c>
    </row>
    <row r="11">
      <c r="A11" s="16" t="n">
        <v>0.45</v>
      </c>
      <c r="D11" s="17" t="inlineStr">
        <is>
          <t>池之上・片山</t>
        </is>
      </c>
    </row>
    <row r="12">
      <c r="A12" s="16" t="n">
        <v>0.5</v>
      </c>
      <c r="D12" s="17" t="inlineStr">
        <is>
          <t>大熊・白石</t>
        </is>
      </c>
    </row>
    <row r="13">
      <c r="A13" s="16" t="n">
        <v>0.55</v>
      </c>
      <c r="D13" s="17" t="inlineStr">
        <is>
          <t>全員・池之上</t>
        </is>
      </c>
    </row>
    <row r="14">
      <c r="A14" s="16" t="n">
        <v>0.6000000000000001</v>
      </c>
      <c r="D14" s="17" t="inlineStr">
        <is>
          <t>社長・白石・片山</t>
        </is>
      </c>
    </row>
    <row r="15">
      <c r="A15" s="16" t="n">
        <v>0.65</v>
      </c>
      <c r="D15" s="17" t="inlineStr">
        <is>
          <t>白石・池之上・大熊</t>
        </is>
      </c>
    </row>
    <row r="16">
      <c r="A16" s="16" t="n">
        <v>0.7000000000000001</v>
      </c>
      <c r="D16" s="17" t="inlineStr">
        <is>
          <t>白石・片山</t>
        </is>
      </c>
    </row>
    <row r="17">
      <c r="A17" s="16" t="n">
        <v>0.75</v>
      </c>
      <c r="D17" s="17" t="inlineStr">
        <is>
          <t>社長・寺井・池之上・弁護士</t>
        </is>
      </c>
    </row>
    <row r="18">
      <c r="A18" s="16" t="n">
        <v>0.8</v>
      </c>
    </row>
    <row r="19">
      <c r="A19" s="16" t="n">
        <v>0.8500000000000001</v>
      </c>
    </row>
    <row r="20">
      <c r="A20" s="16" t="n">
        <v>0.9</v>
      </c>
    </row>
    <row r="21">
      <c r="A21" s="16" t="n">
        <v>0.9500000000000001</v>
      </c>
    </row>
    <row r="22">
      <c r="A22" s="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24" customWidth="1" min="3" max="3"/>
    <col width="10" customWidth="1" min="4" max="4"/>
    <col width="11" customWidth="1" min="5" max="5"/>
    <col width="34" customWidth="1" min="6" max="6"/>
    <col width="44" customWidth="1" min="7" max="7"/>
  </cols>
  <sheetData>
    <row r="1">
      <c r="A1" s="1" t="inlineStr">
        <is>
          <t>制作進捗ボード ─ eラーニング・動画</t>
        </is>
      </c>
    </row>
    <row r="2">
      <c r="A2" s="2" t="inlineStr">
        <is>
          <t>工程表（制作MASTER 2026-09-03 ／ 仕事の棚卸し 2026-09-02）の進捗をそのまま引いています。</t>
        </is>
      </c>
    </row>
    <row r="3">
      <c r="A3" s="3" t="inlineStr">
        <is>
          <t>ツールの箱は50%まで来ていますが、中に入れる動画が20%で止まっています。赤い担当名は「未定」です。</t>
        </is>
      </c>
    </row>
    <row r="5" ht="34" customHeight="1">
      <c r="A5" s="4" t="inlineStr">
        <is>
          <t>何を作るか／するか</t>
        </is>
      </c>
      <c r="B5" s="4" t="inlineStr">
        <is>
          <t>どこで使う</t>
        </is>
      </c>
      <c r="C5" s="4" t="inlineStr">
        <is>
          <t>担当</t>
        </is>
      </c>
      <c r="D5" s="4" t="inlineStr">
        <is>
          <t>進捗</t>
        </is>
      </c>
      <c r="E5" s="4" t="inlineStr">
        <is>
          <t>状態</t>
        </is>
      </c>
      <c r="F5" s="4" t="inlineStr">
        <is>
          <t>URL記入欄</t>
        </is>
      </c>
      <c r="G5" s="4" t="inlineStr">
        <is>
          <t>メモ</t>
        </is>
      </c>
    </row>
    <row r="6" ht="32" customHeight="1">
      <c r="A6" s="6" t="inlineStr">
        <is>
          <t>eラーニング（ツール本体）</t>
        </is>
      </c>
      <c r="B6" s="6" t="inlineStr">
        <is>
          <t>LMP事業 · Web・ツール・システム</t>
        </is>
      </c>
      <c r="C6" s="18" t="inlineStr">
        <is>
          <t>社長・白石・片山</t>
        </is>
      </c>
      <c r="D6" s="19" t="n">
        <v>0.5</v>
      </c>
      <c r="E6" s="20" t="inlineStr">
        <is>
          <t>進行中</t>
        </is>
      </c>
      <c r="F6" s="21" t="n"/>
      <c r="G6" s="6" t="inlineStr">
        <is>
          <t>加盟店が学ぶ画面そのもの</t>
        </is>
      </c>
    </row>
    <row r="7" ht="32" customHeight="1">
      <c r="A7" s="6" t="inlineStr">
        <is>
          <t>eラーニング動画</t>
        </is>
      </c>
      <c r="B7" s="6" t="inlineStr">
        <is>
          <t>LMP事業 · Web・ツール・システム</t>
        </is>
      </c>
      <c r="C7" s="22" t="inlineStr">
        <is>
          <t>未定</t>
        </is>
      </c>
      <c r="D7" s="19" t="n">
        <v>0.2</v>
      </c>
      <c r="E7" s="20" t="inlineStr">
        <is>
          <t>進行中</t>
        </is>
      </c>
      <c r="F7" s="21" t="n"/>
      <c r="G7" s="6" t="inlineStr">
        <is>
          <t>教材の中で流す動画。担当が決まっていない</t>
        </is>
      </c>
    </row>
    <row r="8" ht="32" customHeight="1">
      <c r="A8" s="6" t="inlineStr">
        <is>
          <t>教育診断</t>
        </is>
      </c>
      <c r="B8" s="6" t="inlineStr">
        <is>
          <t>RC事業 · Web・ツール・システム</t>
        </is>
      </c>
      <c r="C8" s="18" t="inlineStr">
        <is>
          <t>白石</t>
        </is>
      </c>
      <c r="D8" s="19" t="n">
        <v>0.8</v>
      </c>
      <c r="E8" s="20" t="inlineStr">
        <is>
          <t>進行中</t>
        </is>
      </c>
      <c r="F8" s="21" t="n"/>
      <c r="G8" s="6" t="inlineStr">
        <is>
          <t>学ぶ前に現在地をはかる</t>
        </is>
      </c>
    </row>
    <row r="9" ht="32" customHeight="1">
      <c r="A9" s="6" t="inlineStr">
        <is>
          <t>教科書の前段階の資料</t>
        </is>
      </c>
      <c r="B9" s="6" t="inlineStr">
        <is>
          <t>RC事業 · 動画・コンテンツ</t>
        </is>
      </c>
      <c r="C9" s="18" t="inlineStr">
        <is>
          <t>白石</t>
        </is>
      </c>
      <c r="D9" s="19" t="n">
        <v>0.6</v>
      </c>
      <c r="E9" s="20" t="inlineStr">
        <is>
          <t>進行中</t>
        </is>
      </c>
      <c r="F9" s="21" t="n"/>
      <c r="G9" s="6" t="inlineStr">
        <is>
          <t>教材のもとになる原稿</t>
        </is>
      </c>
    </row>
    <row r="10" ht="32" customHeight="1">
      <c r="A10" s="6" t="inlineStr">
        <is>
          <t>各ツールマニュアル作成</t>
        </is>
      </c>
      <c r="B10" s="6" t="inlineStr">
        <is>
          <t>LMP事業 · 営業・資料</t>
        </is>
      </c>
      <c r="C10" s="22" t="inlineStr">
        <is>
          <t>未定</t>
        </is>
      </c>
      <c r="D10" s="19" t="n">
        <v>0</v>
      </c>
      <c r="E10" s="23" t="inlineStr">
        <is>
          <t>未着手</t>
        </is>
      </c>
      <c r="F10" s="21" t="n"/>
      <c r="G10" s="6" t="inlineStr">
        <is>
          <t>担当が決まっていない</t>
        </is>
      </c>
    </row>
    <row r="11" ht="32" customHeight="1">
      <c r="A11" s="6" t="inlineStr">
        <is>
          <t>研修会準備</t>
        </is>
      </c>
      <c r="B11" s="6" t="inlineStr">
        <is>
          <t>LMP事業 · 加盟開発</t>
        </is>
      </c>
      <c r="C11" s="18" t="inlineStr">
        <is>
          <t>白石・池之上・大熊</t>
        </is>
      </c>
      <c r="D11" s="19" t="n">
        <v>0</v>
      </c>
      <c r="E11" s="23" t="inlineStr">
        <is>
          <t>未着手</t>
        </is>
      </c>
      <c r="F11" s="21" t="n"/>
      <c r="G11" s="6" t="inlineStr"/>
    </row>
    <row r="12" ht="32" customHeight="1">
      <c r="A12" s="6" t="inlineStr">
        <is>
          <t>eラーニング接続・設計</t>
        </is>
      </c>
      <c r="B12" s="6" t="inlineStr">
        <is>
          <t>RCP事業 · Web・ツール・システム</t>
        </is>
      </c>
      <c r="C12" s="18" t="inlineStr">
        <is>
          <t>白石</t>
        </is>
      </c>
      <c r="D12" s="19" t="n">
        <v>0</v>
      </c>
      <c r="E12" s="23" t="inlineStr">
        <is>
          <t>未着手</t>
        </is>
      </c>
      <c r="F12" s="21" t="n"/>
      <c r="G12" s="6" t="inlineStr"/>
    </row>
    <row r="13" ht="32" customHeight="1">
      <c r="A13" s="6" t="inlineStr">
        <is>
          <t>AIロープレ（アオ先生）</t>
        </is>
      </c>
      <c r="B13" s="6" t="inlineStr">
        <is>
          <t>AIアオ先生 · 営業コーチ</t>
        </is>
      </c>
      <c r="C13" s="18" t="inlineStr">
        <is>
          <t>池之上</t>
        </is>
      </c>
      <c r="D13" s="19" t="n">
        <v>0.9</v>
      </c>
      <c r="E13" s="24" t="inlineStr">
        <is>
          <t>確認待ち</t>
        </is>
      </c>
      <c r="F13" s="21" t="n"/>
      <c r="G13" s="6" t="inlineStr">
        <is>
          <t>制作MASTERのみに記載</t>
        </is>
      </c>
    </row>
    <row r="14" ht="32" customHeight="1">
      <c r="A14" s="6" t="inlineStr">
        <is>
          <t>結婚後の暮らしと人生設計動画</t>
        </is>
      </c>
      <c r="B14" s="6" t="inlineStr">
        <is>
          <t>RC事業 · 動画・コンテンツ</t>
        </is>
      </c>
      <c r="C14" s="18" t="inlineStr">
        <is>
          <t>白石</t>
        </is>
      </c>
      <c r="D14" s="19" t="n">
        <v>0.7</v>
      </c>
      <c r="E14" s="20" t="inlineStr">
        <is>
          <t>進行中</t>
        </is>
      </c>
      <c r="F14" s="21" t="n"/>
      <c r="G14" s="6" t="inlineStr">
        <is>
          <t>動画で唯一動いている1本</t>
        </is>
      </c>
    </row>
    <row r="15" ht="32" customHeight="1">
      <c r="A15" s="6" t="inlineStr">
        <is>
          <t>サービス説明動画</t>
        </is>
      </c>
      <c r="B15" s="6" t="inlineStr">
        <is>
          <t>RC事業 · 動画・コンテンツ</t>
        </is>
      </c>
      <c r="C15" s="18" t="inlineStr">
        <is>
          <t>白石</t>
        </is>
      </c>
      <c r="D15" s="19" t="n">
        <v>0</v>
      </c>
      <c r="E15" s="23" t="inlineStr">
        <is>
          <t>未着手</t>
        </is>
      </c>
      <c r="F15" s="21" t="n"/>
      <c r="G15" s="6" t="inlineStr"/>
    </row>
    <row r="16" ht="32" customHeight="1">
      <c r="A16" s="6" t="inlineStr">
        <is>
          <t>toC動画</t>
        </is>
      </c>
      <c r="B16" s="6" t="inlineStr">
        <is>
          <t>RC事業 · 動画・コンテンツ</t>
        </is>
      </c>
      <c r="C16" s="18" t="inlineStr">
        <is>
          <t>白石</t>
        </is>
      </c>
      <c r="D16" s="19" t="n">
        <v>0</v>
      </c>
      <c r="E16" s="23" t="inlineStr">
        <is>
          <t>未着手</t>
        </is>
      </c>
      <c r="F16" s="21" t="n"/>
      <c r="G16" s="6" t="inlineStr"/>
    </row>
    <row r="17" ht="32" customHeight="1">
      <c r="A17" s="6" t="inlineStr">
        <is>
          <t>サービスデモ動画</t>
        </is>
      </c>
      <c r="B17" s="6" t="inlineStr">
        <is>
          <t>RCP事業 · 動画・コンテンツ</t>
        </is>
      </c>
      <c r="C17" s="18" t="inlineStr">
        <is>
          <t>白石</t>
        </is>
      </c>
      <c r="D17" s="19" t="n">
        <v>0</v>
      </c>
      <c r="E17" s="23" t="inlineStr">
        <is>
          <t>未着手</t>
        </is>
      </c>
      <c r="F17" s="21" t="n"/>
      <c r="G17" s="6" t="inlineStr"/>
    </row>
    <row r="18" ht="32" customHeight="1">
      <c r="A18" s="6" t="inlineStr">
        <is>
          <t>水谷先生の本の動画</t>
        </is>
      </c>
      <c r="B18" s="6" t="inlineStr">
        <is>
          <t>RCP事業 · 動画・コンテンツ</t>
        </is>
      </c>
      <c r="C18" s="18" t="inlineStr">
        <is>
          <t>白石</t>
        </is>
      </c>
      <c r="D18" s="19" t="n">
        <v>0</v>
      </c>
      <c r="E18" s="23" t="inlineStr">
        <is>
          <t>未着手</t>
        </is>
      </c>
      <c r="F18" s="21" t="n"/>
      <c r="G18" s="6" t="inlineStr"/>
    </row>
    <row r="19" ht="32" customHeight="1">
      <c r="A19" s="6" t="inlineStr">
        <is>
          <t>OEM各先生の宣伝動画（5本）</t>
        </is>
      </c>
      <c r="B19" s="6" t="inlineStr">
        <is>
          <t>RCP PPモデル · OEM</t>
        </is>
      </c>
      <c r="C19" s="18" t="inlineStr">
        <is>
          <t>白石</t>
        </is>
      </c>
      <c r="D19" s="19" t="n">
        <v>0</v>
      </c>
      <c r="E19" s="23" t="inlineStr">
        <is>
          <t>未着手</t>
        </is>
      </c>
      <c r="F19" s="21" t="n"/>
      <c r="G19" s="6" t="inlineStr">
        <is>
          <t>AKさん・大橋会長・木原さん・水谷先生・藤田先生</t>
        </is>
      </c>
    </row>
    <row r="20" ht="32" customHeight="1">
      <c r="A20" s="6" t="inlineStr">
        <is>
          <t>宣伝動画・PV ロング／ショート（7本）</t>
        </is>
      </c>
      <c r="B20" s="6" t="inlineStr">
        <is>
          <t>RC／RCP／HI／PP · REALIZE QUEST</t>
        </is>
      </c>
      <c r="C20" s="18" t="inlineStr">
        <is>
          <t>白石・片山</t>
        </is>
      </c>
      <c r="D20" s="19" t="n">
        <v>0</v>
      </c>
      <c r="E20" s="23" t="inlineStr">
        <is>
          <t>未着手</t>
        </is>
      </c>
      <c r="F20" s="21" t="n"/>
      <c r="G20" s="6" t="inlineStr"/>
    </row>
    <row r="21" ht="32" customHeight="1">
      <c r="A21" s="6" t="inlineStr">
        <is>
          <t>採用まわりの動画（2本）</t>
        </is>
      </c>
      <c r="B21" s="6" t="inlineStr">
        <is>
          <t>採用 · 学生募集</t>
        </is>
      </c>
      <c r="C21" s="18" t="inlineStr">
        <is>
          <t>白石・片山</t>
        </is>
      </c>
      <c r="D21" s="19" t="n">
        <v>0</v>
      </c>
      <c r="E21" s="23" t="inlineStr">
        <is>
          <t>未着手</t>
        </is>
      </c>
      <c r="F21" s="21" t="n"/>
      <c r="G21" s="6" t="inlineStr">
        <is>
          <t>PR動画・SNS採用募集動画</t>
        </is>
      </c>
    </row>
    <row r="22">
      <c r="C22" s="12" t="inlineStr">
        <is>
          <t>平均</t>
        </is>
      </c>
      <c r="D22" s="25">
        <f>AVERAGE(D6:D21)</f>
        <v/>
      </c>
      <c r="E22" s="14">
        <f>COUNTIF(E6:E21,"未着手")&amp;" 件未着手"</f>
        <v/>
      </c>
      <c r="F22" s="14">
        <f>COUNTA(F6:F21)&amp;" 件 登録ずみ"</f>
        <v/>
      </c>
    </row>
    <row r="24">
      <c r="A24" s="26" t="inlineStr">
        <is>
          <t>できている設計書・ガイド</t>
        </is>
      </c>
    </row>
    <row r="25">
      <c r="A25" s="27" t="inlineStr">
        <is>
          <t>LIFE CHECK42 Eラーニング画面設計書</t>
        </is>
      </c>
      <c r="B25" s="2" t="inlineStr">
        <is>
          <t>画面設計</t>
        </is>
      </c>
      <c r="C25" s="2" t="inlineStr">
        <is>
          <t>2026-08-31</t>
        </is>
      </c>
      <c r="G25" s="28" t="inlineStr">
        <is>
          <t>開く</t>
        </is>
      </c>
    </row>
    <row r="26">
      <c r="A26" s="27" t="inlineStr">
        <is>
          <t>RCP ノーマル版 eラーニング｜UI提案 v1</t>
        </is>
      </c>
      <c r="B26" s="2" t="inlineStr">
        <is>
          <t>UI提案</t>
        </is>
      </c>
      <c r="C26" s="2" t="inlineStr">
        <is>
          <t>2026-08-05</t>
        </is>
      </c>
      <c r="G26" s="28" t="inlineStr">
        <is>
          <t>開く</t>
        </is>
      </c>
    </row>
    <row r="27">
      <c r="A27" s="27" t="inlineStr">
        <is>
          <t>AIロープレ 操作ガイド</t>
        </is>
      </c>
      <c r="B27" s="2" t="inlineStr">
        <is>
          <t>操作ガイド</t>
        </is>
      </c>
      <c r="C27" s="2" t="inlineStr">
        <is>
          <t>2026-08-31</t>
        </is>
      </c>
      <c r="G27" s="28" t="inlineStr">
        <is>
          <t>開く</t>
        </is>
      </c>
    </row>
    <row r="28">
      <c r="A28" s="27" t="inlineStr">
        <is>
          <t>生成AI動画講座 比較検討</t>
        </is>
      </c>
      <c r="B28" s="2" t="inlineStr">
        <is>
          <t>比較検討</t>
        </is>
      </c>
      <c r="C28" s="2" t="inlineStr">
        <is>
          <t>2026-08-21</t>
        </is>
      </c>
      <c r="G28" s="28" t="inlineStr">
        <is>
          <t>開く</t>
        </is>
      </c>
    </row>
  </sheetData>
  <autoFilter ref="A5:G21"/>
  <conditionalFormatting sqref="D6:D21">
    <cfRule type="dataBar" priority="1">
      <dataBar showValue="1">
        <cfvo type="num" val="0"/>
        <cfvo type="num" val="1"/>
        <color rgb="001F4E6B"/>
      </dataBar>
    </cfRule>
  </conditionalFormatting>
  <dataValidations count="3">
    <dataValidation sqref="C6:C21" showDropDown="0" showInputMessage="0" showErrorMessage="0" allowBlank="1" promptTitle="担当を選ぶ" prompt="一覧にない場合は直接入力もできます" type="list">
      <formula1>'選択肢'!$D$2:$D$17</formula1>
    </dataValidation>
    <dataValidation sqref="D6:D21" showDropDown="0" showInputMessage="0" showErrorMessage="0" allowBlank="1" promptTitle="進捗を選ぶ" prompt="5%きざみで選べます。直接入力もできます。" type="list">
      <formula1>'選択肢'!$A$2:$A$22</formula1>
    </dataValidation>
    <dataValidation sqref="E6:E21" showDropDown="0" showInputMessage="0" showErrorMessage="0" allowBlank="0" promptTitle="状態を選ぶ" prompt="未着手／進行中／確認待ち" type="list">
      <formula1>'選択肢'!$C$2:$C$4</formula1>
    </dataValidation>
  </dataValidations>
  <hyperlinks>
    <hyperlink xmlns:r="http://schemas.openxmlformats.org/officeDocument/2006/relationships" ref="G25" r:id="rId1"/>
    <hyperlink xmlns:r="http://schemas.openxmlformats.org/officeDocument/2006/relationships" ref="G26" r:id="rId2"/>
    <hyperlink xmlns:r="http://schemas.openxmlformats.org/officeDocument/2006/relationships" ref="G27" r:id="rId3"/>
    <hyperlink xmlns:r="http://schemas.openxmlformats.org/officeDocument/2006/relationships" ref="G28" r:id="rId4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24" customWidth="1" min="3" max="3"/>
    <col width="10" customWidth="1" min="4" max="4"/>
    <col width="11" customWidth="1" min="5" max="5"/>
    <col width="34" customWidth="1" min="6" max="6"/>
    <col width="44" customWidth="1" min="7" max="7"/>
  </cols>
  <sheetData>
    <row r="1">
      <c r="A1" s="1" t="inlineStr">
        <is>
          <t>制作進捗ボード ─ 広告</t>
        </is>
      </c>
    </row>
    <row r="2">
      <c r="A2" s="2" t="inlineStr">
        <is>
          <t>工程表上のどの項目も0%。制作も運用もチェック体制もまだ始まっていません。</t>
        </is>
      </c>
    </row>
    <row r="3">
      <c r="A3" s="3" t="inlineStr">
        <is>
          <t>広告を出すには、飛ばす先のLPが公開され、問い合わせが届く状態である必要があります。着手日はLP公開日で決まります。</t>
        </is>
      </c>
    </row>
    <row r="5" ht="34" customHeight="1">
      <c r="A5" s="4" t="inlineStr">
        <is>
          <t>何を作るか／するか</t>
        </is>
      </c>
      <c r="B5" s="4" t="inlineStr">
        <is>
          <t>どこで使う</t>
        </is>
      </c>
      <c r="C5" s="4" t="inlineStr">
        <is>
          <t>担当</t>
        </is>
      </c>
      <c r="D5" s="4" t="inlineStr">
        <is>
          <t>進捗</t>
        </is>
      </c>
      <c r="E5" s="4" t="inlineStr">
        <is>
          <t>状態</t>
        </is>
      </c>
      <c r="F5" s="4" t="inlineStr">
        <is>
          <t>URL記入欄</t>
        </is>
      </c>
      <c r="G5" s="4" t="inlineStr">
        <is>
          <t>メモ</t>
        </is>
      </c>
    </row>
    <row r="6" ht="32" customHeight="1">
      <c r="A6" s="6" t="inlineStr">
        <is>
          <t>広告制作</t>
        </is>
      </c>
      <c r="B6" s="6" t="inlineStr">
        <is>
          <t>RC法人開拓 · 地域企業への入口</t>
        </is>
      </c>
      <c r="C6" s="18" t="inlineStr">
        <is>
          <t>大熊・片山</t>
        </is>
      </c>
      <c r="D6" s="19" t="n">
        <v>0</v>
      </c>
      <c r="E6" s="23" t="inlineStr">
        <is>
          <t>未着手</t>
        </is>
      </c>
      <c r="F6" s="21" t="n"/>
      <c r="G6" s="6" t="inlineStr">
        <is>
          <t>バナー・原稿などのクリエイティブ</t>
        </is>
      </c>
    </row>
    <row r="7" ht="32" customHeight="1">
      <c r="A7" s="6" t="inlineStr">
        <is>
          <t>広告運用</t>
        </is>
      </c>
      <c r="B7" s="6" t="inlineStr">
        <is>
          <t>RC法人開拓／LMP加盟開発</t>
        </is>
      </c>
      <c r="C7" s="18" t="inlineStr">
        <is>
          <t>池之上・片山</t>
        </is>
      </c>
      <c r="D7" s="19" t="n">
        <v>0</v>
      </c>
      <c r="E7" s="23" t="inlineStr">
        <is>
          <t>未着手</t>
        </is>
      </c>
      <c r="F7" s="21" t="n"/>
      <c r="G7" s="6" t="inlineStr">
        <is>
          <t>出稿・予算・改善</t>
        </is>
      </c>
    </row>
    <row r="8" ht="32" customHeight="1">
      <c r="A8" s="6" t="inlineStr">
        <is>
          <t>広告クリエイティブチェック</t>
        </is>
      </c>
      <c r="B8" s="6" t="inlineStr">
        <is>
          <t>LMP事業 · 全体品質確認</t>
        </is>
      </c>
      <c r="C8" s="18" t="inlineStr">
        <is>
          <t>白石</t>
        </is>
      </c>
      <c r="D8" s="19" t="n">
        <v>0</v>
      </c>
      <c r="E8" s="23" t="inlineStr">
        <is>
          <t>未着手</t>
        </is>
      </c>
      <c r="F8" s="21" t="n"/>
      <c r="G8" s="6" t="inlineStr">
        <is>
          <t>出す前の品質確認</t>
        </is>
      </c>
    </row>
    <row r="9" ht="32" customHeight="1">
      <c r="A9" s="6" t="inlineStr">
        <is>
          <t>広告表示のチェック（景表法）</t>
        </is>
      </c>
      <c r="B9" s="6" t="inlineStr">
        <is>
          <t>社内業務 · 法務・業法</t>
        </is>
      </c>
      <c r="C9" s="18" t="inlineStr">
        <is>
          <t>社長・寺井・池之上・弁護士</t>
        </is>
      </c>
      <c r="D9" s="19" t="n">
        <v>0</v>
      </c>
      <c r="E9" s="23" t="inlineStr">
        <is>
          <t>未着手</t>
        </is>
      </c>
      <c r="F9" s="21" t="n"/>
      <c r="G9" s="6" t="inlineStr">
        <is>
          <t>言い切り表現・実績表示の法務確認</t>
        </is>
      </c>
    </row>
    <row r="10" ht="32" customHeight="1">
      <c r="A10" s="6" t="inlineStr">
        <is>
          <t>広報・告知（LP・SNS）4件</t>
        </is>
      </c>
      <c r="B10" s="6" t="inlineStr">
        <is>
          <t>RC／RCP／HI／PP · REALIZE QUEST</t>
        </is>
      </c>
      <c r="C10" s="18" t="inlineStr">
        <is>
          <t>白石</t>
        </is>
      </c>
      <c r="D10" s="19" t="n">
        <v>0</v>
      </c>
      <c r="E10" s="23" t="inlineStr">
        <is>
          <t>未着手</t>
        </is>
      </c>
      <c r="F10" s="21" t="n"/>
      <c r="G10" s="6" t="inlineStr"/>
    </row>
    <row r="11">
      <c r="C11" s="12" t="inlineStr">
        <is>
          <t>平均</t>
        </is>
      </c>
      <c r="D11" s="25">
        <f>AVERAGE(D6:D10)</f>
        <v/>
      </c>
      <c r="E11" s="14">
        <f>COUNTIF(E6:E10,"未着手")&amp;" 件未着手"</f>
        <v/>
      </c>
      <c r="F11" s="14">
        <f>COUNTA(F6:F10)&amp;" 件 登録ずみ"</f>
        <v/>
      </c>
    </row>
  </sheetData>
  <autoFilter ref="A5:G10"/>
  <conditionalFormatting sqref="D6:D10">
    <cfRule type="dataBar" priority="1">
      <dataBar showValue="1">
        <cfvo type="num" val="0"/>
        <cfvo type="num" val="1"/>
        <color rgb="001F4E6B"/>
      </dataBar>
    </cfRule>
  </conditionalFormatting>
  <dataValidations count="3">
    <dataValidation sqref="C6:C10" showDropDown="0" showInputMessage="0" showErrorMessage="0" allowBlank="1" promptTitle="担当を選ぶ" prompt="一覧にない場合は直接入力もできます" type="list">
      <formula1>'選択肢'!$D$2:$D$17</formula1>
    </dataValidation>
    <dataValidation sqref="D6:D10" showDropDown="0" showInputMessage="0" showErrorMessage="0" allowBlank="1" promptTitle="進捗を選ぶ" prompt="5%きざみで選べます。直接入力もできます。" type="list">
      <formula1>'選択肢'!$A$2:$A$22</formula1>
    </dataValidation>
    <dataValidation sqref="E6:E10" showDropDown="0" showInputMessage="0" showErrorMessage="0" allowBlank="0" promptTitle="状態を選ぶ" prompt="未着手／進行中／確認待ち" type="list">
      <formula1>'選択肢'!$C$2:$C$4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8" customWidth="1" min="2" max="2"/>
  </cols>
  <sheetData>
    <row r="1">
      <c r="A1" s="29" t="inlineStr">
        <is>
          <t>凡例と出典</t>
        </is>
      </c>
    </row>
    <row r="3">
      <c r="A3" s="30" t="inlineStr">
        <is>
          <t>LPの3段</t>
        </is>
      </c>
    </row>
    <row r="4" ht="36" customHeight="1">
      <c r="A4" s="31" t="inlineStr">
        <is>
          <t>原稿・デザイン</t>
        </is>
      </c>
      <c r="B4" s="32" t="inlineStr">
        <is>
          <t>本編の文章とデザインが最後まで通っている</t>
        </is>
      </c>
    </row>
    <row r="5" ht="36" customHeight="1">
      <c r="A5" s="31" t="inlineStr">
        <is>
          <t>問い合わせ導線</t>
        </is>
      </c>
      <c r="B5" s="32" t="inlineStr">
        <is>
          <t>ボタンの行き先が実在し、問い合わせが届く先につながっている</t>
        </is>
      </c>
    </row>
    <row r="6" ht="36" customHeight="1">
      <c r="A6" s="31" t="inlineStr">
        <is>
          <t>本番公開</t>
        </is>
      </c>
      <c r="B6" s="32" t="inlineStr">
        <is>
          <t>独自ドメインで公開され、G列に本番URLが入っている（自動判定）</t>
        </is>
      </c>
    </row>
    <row r="8">
      <c r="A8" s="30" t="inlineStr">
        <is>
          <t>記号</t>
        </is>
      </c>
    </row>
    <row r="9" ht="36" customHeight="1">
      <c r="A9" s="31" t="inlineStr">
        <is>
          <t>○</t>
        </is>
      </c>
      <c r="B9" s="32" t="inlineStr">
        <is>
          <t>できている</t>
        </is>
      </c>
    </row>
    <row r="10" ht="36" customHeight="1">
      <c r="A10" s="31" t="inlineStr">
        <is>
          <t>△</t>
        </is>
      </c>
      <c r="B10" s="32" t="inlineStr">
        <is>
          <t>仮づけ。メーラーを開くだけ、または行き先が「#」のまま</t>
        </is>
      </c>
    </row>
    <row r="11" ht="36" customHeight="1">
      <c r="A11" s="31" t="inlineStr">
        <is>
          <t>×</t>
        </is>
      </c>
      <c r="B11" s="32" t="inlineStr">
        <is>
          <t>手つかず／ページが存在しない</t>
        </is>
      </c>
    </row>
    <row r="13">
      <c r="A13" s="30" t="inlineStr">
        <is>
          <t>状態</t>
        </is>
      </c>
    </row>
    <row r="14" ht="36" customHeight="1">
      <c r="A14" s="31" t="inlineStr">
        <is>
          <t>確認待ち</t>
        </is>
      </c>
      <c r="B14" s="32" t="inlineStr">
        <is>
          <t>作業は終わり、誰かの確認を待っている</t>
        </is>
      </c>
    </row>
    <row r="15" ht="36" customHeight="1">
      <c r="A15" s="31" t="inlineStr">
        <is>
          <t>進行中</t>
        </is>
      </c>
      <c r="B15" s="32" t="inlineStr">
        <is>
          <t>いま手が動いている</t>
        </is>
      </c>
    </row>
    <row r="16" ht="36" customHeight="1">
      <c r="A16" s="31" t="inlineStr">
        <is>
          <t>未着手</t>
        </is>
      </c>
      <c r="B16" s="32" t="inlineStr">
        <is>
          <t>まだ始まっていない</t>
        </is>
      </c>
    </row>
    <row r="17" ht="36" customHeight="1">
      <c r="A17" s="31" t="inlineStr">
        <is>
          <t>赤い担当名</t>
        </is>
      </c>
      <c r="B17" s="32" t="inlineStr">
        <is>
          <t>担当が「未定」の仕事。誰かを決めないと進みません</t>
        </is>
      </c>
    </row>
    <row r="19">
      <c r="A19" s="30" t="inlineStr">
        <is>
          <t>クリックして選べるところ（水色のセル）</t>
        </is>
      </c>
    </row>
    <row r="20" ht="36" customHeight="1">
      <c r="A20" s="31" t="inlineStr">
        <is>
          <t>案件</t>
        </is>
      </c>
      <c r="B20" s="32" t="inlineStr">
        <is>
          <t>LPシートのA列。どの案件のLPかを選びます。</t>
        </is>
      </c>
    </row>
    <row r="21" ht="36" customHeight="1">
      <c r="A21" s="31" t="inlineStr">
        <is>
          <t>担当</t>
        </is>
      </c>
      <c r="B21" s="32" t="inlineStr">
        <is>
          <t>タスクシートのC列。一覧から選ぶか、直接書き換えます。</t>
        </is>
      </c>
    </row>
    <row r="22" ht="36" customHeight="1">
      <c r="A22" s="31" t="inlineStr">
        <is>
          <t>進捗</t>
        </is>
      </c>
      <c r="B22" s="32" t="inlineStr">
        <is>
          <t>タスクシートのD列。0%〜100%を5%きざみで選べます。選ぶとセルの中のバーが伸び縮みします。</t>
        </is>
      </c>
    </row>
    <row r="23" ht="36" customHeight="1">
      <c r="A23" s="31" t="inlineStr">
        <is>
          <t>状態</t>
        </is>
      </c>
      <c r="B23" s="32" t="inlineStr">
        <is>
          <t>タスクシートのE列。未着手／進行中／確認待ち。</t>
        </is>
      </c>
    </row>
    <row r="24" ht="36" customHeight="1">
      <c r="A24" s="31" t="inlineStr">
        <is>
          <t>LPの○△×</t>
        </is>
      </c>
      <c r="B24" s="32" t="inlineStr">
        <is>
          <t>LPシートのD・E列。本番公開（F列）はG列のURL有無から自動で決まります。</t>
        </is>
      </c>
    </row>
    <row r="25" ht="36" customHeight="1">
      <c r="A25" s="31" t="inlineStr">
        <is>
          <t>黄色の記入欄</t>
        </is>
      </c>
      <c r="B25" s="32" t="inlineStr">
        <is>
          <t>公開したURL・動画URL・広告の入稿先を貼ります。</t>
        </is>
      </c>
    </row>
    <row r="26" ht="36" customHeight="1">
      <c r="A26" s="31" t="inlineStr">
        <is>
          <t>列見出しの▼</t>
        </is>
      </c>
      <c r="B26" s="32" t="inlineStr">
        <is>
          <t>オートフィルタです。値を選ぶとその行だけ表示されます。複数の列を組み合わせられます。</t>
        </is>
      </c>
    </row>
    <row r="27" ht="36" customHeight="1">
      <c r="A27" s="31" t="inlineStr">
        <is>
          <t>選択肢を増やしたいとき</t>
        </is>
      </c>
      <c r="B27" s="32" t="inlineStr">
        <is>
          <t>非表示シート「選択肢」に一覧があります。値を足し、入力規則の参照範囲を広げれば選べるようになります。</t>
        </is>
      </c>
    </row>
    <row r="29">
      <c r="A29" s="30" t="inlineStr">
        <is>
          <t>出典</t>
        </is>
      </c>
    </row>
    <row r="30" ht="36" customHeight="1">
      <c r="A30" s="31" t="inlineStr">
        <is>
          <t>LPシート</t>
        </is>
      </c>
      <c r="B30" s="32" t="inlineStr">
        <is>
          <t>公開済みアーティファクト43件のうちLPに該当する22ページ（本編11＋付随11）を、1ページずつHTMLを読んで確認。ボタンの行き先・フォームの送信方法・付随ページの有無は実物ベースです。</t>
        </is>
      </c>
    </row>
    <row r="31" ht="36" customHeight="1">
      <c r="A31" s="31" t="inlineStr">
        <is>
          <t>進捗％と担当</t>
        </is>
      </c>
      <c r="B31" s="32" t="inlineStr">
        <is>
          <t>社内の「REALIZE OS 制作MASTER」(2026-09-03) と「仕事の棚卸し」(2026-09-02) の数値をそのまま引いています。</t>
        </is>
      </c>
    </row>
    <row r="32" ht="36" customHeight="1">
      <c r="A32" s="31" t="inlineStr">
        <is>
          <t>担当の食い違い</t>
        </is>
      </c>
      <c r="B32" s="32" t="inlineStr">
        <is>
          <t>広告運用の担当は2資料で記載が違います（制作MASTER＝大熊・片山／棚卸し＝池之上・片山）。広告制作は大熊・片山、広告運用は池之上・片山としています。</t>
        </is>
      </c>
    </row>
    <row r="33" ht="36" customHeight="1">
      <c r="A33" s="31" t="inlineStr">
        <is>
          <t>未確認</t>
        </is>
      </c>
      <c r="B33" s="32" t="inlineStr">
        <is>
          <t>LP付随ページ4本（RC星空案の会社概要、RCアイス案の資料請求、LMP星空案の資料請求と会社概要）は、親LPからのリンクで存在を確認しただけで中身は開いていません。</t>
        </is>
      </c>
    </row>
    <row r="34" ht="36" customHeight="1">
      <c r="A34" s="31" t="inlineStr">
        <is>
          <t>調査日</t>
        </is>
      </c>
      <c r="B34" s="32" t="inlineStr">
        <is>
          <t>2026-09-03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2026-09-03T06:30:30Z</dcterms:created>
  <dcterms:modified xsi:type="dcterms:W3CDTF">2026-09-03T06:30:30Z</dcterms:modified>
</cp:coreProperties>
</file>