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一覧" sheetId="1" state="visible" r:id="rId1"/>
    <sheet name="凡例と調べ方" sheetId="2" state="visible" r:id="rId2"/>
  </sheets>
  <definedNames>
    <definedName name="_xlnm._FilterDatabase" localSheetId="0" hidden="1">'LP一覧'!$A$5:$P$16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／4段&quot;"/>
    <numFmt numFmtId="165" formatCode="0&quot;／11&quot;"/>
    <numFmt numFmtId="166" formatCode="0.0&quot;／4段&quot;"/>
  </numFmts>
  <fonts count="14">
    <font>
      <name val="Calibri"/>
      <family val="2"/>
      <color theme="1"/>
      <sz val="11"/>
      <scheme val="minor"/>
    </font>
    <font>
      <name val="Meiryo"/>
      <b val="1"/>
      <color rgb="001B2330"/>
      <sz val="16"/>
    </font>
    <font>
      <name val="Meiryo"/>
      <color rgb="006E747D"/>
      <sz val="9"/>
    </font>
    <font>
      <name val="Meiryo"/>
      <b val="1"/>
      <color rgb="008A5A12"/>
      <sz val="9"/>
    </font>
    <font>
      <name val="Meiryo"/>
      <b val="1"/>
      <color rgb="00FFFFFF"/>
      <sz val="9"/>
    </font>
    <font>
      <name val="Meiryo"/>
      <color rgb="001F4E6B"/>
      <sz val="9"/>
      <u val="single"/>
    </font>
    <font>
      <name val="Meiryo"/>
      <color rgb="001B2330"/>
      <sz val="9"/>
    </font>
    <font>
      <name val="Meiryo"/>
      <b val="1"/>
      <color rgb="001C6647"/>
      <sz val="9"/>
    </font>
    <font>
      <name val="Meiryo"/>
      <color rgb="000000FF"/>
      <sz val="9"/>
    </font>
    <font>
      <name val="Meiryo"/>
      <b val="1"/>
      <color rgb="006E747D"/>
      <sz val="9"/>
    </font>
    <font>
      <name val="Meiryo"/>
      <b val="1"/>
      <color rgb="001B2330"/>
      <sz val="9"/>
    </font>
    <font>
      <name val="Meiryo"/>
      <b val="1"/>
      <color rgb="001F4E6B"/>
      <sz val="9"/>
    </font>
    <font>
      <name val="Meiryo"/>
      <b val="1"/>
      <color rgb="001B2330"/>
      <sz val="15"/>
    </font>
    <font>
      <name val="Meiryo"/>
      <b val="1"/>
      <color rgb="001F4E6B"/>
      <sz val="12"/>
    </font>
  </fonts>
  <fills count="5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FFF3C4"/>
      </patternFill>
    </fill>
    <fill>
      <patternFill patternType="solid">
        <fgColor rgb="00FAF8F3"/>
      </patternFill>
    </fill>
  </fills>
  <borders count="3">
    <border>
      <left/>
      <right/>
      <top/>
      <bottom/>
      <diagonal/>
    </border>
    <border>
      <left style="thin">
        <color rgb="00DFD8CA"/>
      </left>
      <right style="thin">
        <color rgb="00DFD8CA"/>
      </right>
      <top style="thin">
        <color rgb="00DFD8CA"/>
      </top>
      <bottom style="thin">
        <color rgb="00DFD8CA"/>
      </bottom>
    </border>
    <border>
      <top style="medium">
        <color rgb="001F4E6B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/>
    </xf>
    <xf numFmtId="165" fontId="11" fillId="0" borderId="2" applyAlignment="1" pivotButton="0" quotePrefix="0" xfId="0">
      <alignment horizontal="center"/>
    </xf>
    <xf numFmtId="166" fontId="11" fillId="0" borderId="2" applyAlignment="1" pivotButton="0" quotePrefix="0" xfId="0">
      <alignment horizontal="center"/>
    </xf>
    <xf numFmtId="0" fontId="11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Meiryo"/>
        <b val="1"/>
        <color rgb="00993124"/>
        <sz val="9"/>
      </font>
    </dxf>
    <dxf>
      <font>
        <name val="Meiryo"/>
        <b val="1"/>
        <color rgb="008A5A12"/>
        <sz val="9"/>
      </font>
    </dxf>
    <dxf>
      <font>
        <name val="Meiryo"/>
        <b val="1"/>
        <color rgb="001C6647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LP制作台帳</author>
  </authors>
  <commentList>
    <comment ref="J6" authorId="0" shapeId="0">
      <text>
        <t>公開した本番LPのURLをここに貼ってください。
入力すると④本番公開が○になり、到達度が上がります。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ude.ai/code/artifact/b41aa6c8-3939-483e-9cf4-c92b3290ec3c" TargetMode="External" Id="rId1" /><Relationship Type="http://schemas.openxmlformats.org/officeDocument/2006/relationships/hyperlink" Target="https://claude.ai/code/artifact/08b479a1-0803-4978-989b-dfbb853c3e95" TargetMode="External" Id="rId2" /><Relationship Type="http://schemas.openxmlformats.org/officeDocument/2006/relationships/hyperlink" Target="https://claude.ai/code/artifact/4e88d497-2710-4ece-9972-60aabc2da022" TargetMode="External" Id="rId3" /><Relationship Type="http://schemas.openxmlformats.org/officeDocument/2006/relationships/hyperlink" Target="https://claude.ai/code/artifact/c5af6a39-a1ec-47e7-a2dd-652458d7fd69" TargetMode="External" Id="rId4" /><Relationship Type="http://schemas.openxmlformats.org/officeDocument/2006/relationships/hyperlink" Target="https://claude.ai/code/artifact/7355f424-d6c3-47fb-88a4-a9cfc890f07e" TargetMode="External" Id="rId5" /><Relationship Type="http://schemas.openxmlformats.org/officeDocument/2006/relationships/hyperlink" Target="https://claude.ai/code/artifact/ded9a489-7357-4ed8-80a0-e012da4aaec4" TargetMode="External" Id="rId6" /><Relationship Type="http://schemas.openxmlformats.org/officeDocument/2006/relationships/hyperlink" Target="https://claude.ai/code/artifact/4ce48691-4c9a-46fb-bbd2-e375366bc5ab" TargetMode="External" Id="rId7" /><Relationship Type="http://schemas.openxmlformats.org/officeDocument/2006/relationships/hyperlink" Target="https://claude.ai/code/artifact/a631f99f-f0e8-4bc0-8f78-67f01132ed31" TargetMode="External" Id="rId8" /><Relationship Type="http://schemas.openxmlformats.org/officeDocument/2006/relationships/hyperlink" Target="https://claude.ai/code/artifact/b0f16478-7326-4826-88ce-4aa0230fbcae" TargetMode="External" Id="rId9" /><Relationship Type="http://schemas.openxmlformats.org/officeDocument/2006/relationships/hyperlink" Target="https://claude.ai/code/artifact/00bc4beb-3bef-4d45-a94b-90c693a3c746" TargetMode="External" Id="rId10" /><Relationship Type="http://schemas.openxmlformats.org/officeDocument/2006/relationships/hyperlink" Target="https://claude.ai/code/artifact/5d670aad-cdef-49f7-bf67-38b65e8c396e" TargetMode="External" Id="rId11" /><Relationship Type="http://schemas.openxmlformats.org/officeDocument/2006/relationships/hyperlink" Target="https://claude.ai/code/artifact/7f212d2f-1999-4a55-ba64-865fbcc1b6bf" TargetMode="External" Id="rId12" /><Relationship Type="http://schemas.openxmlformats.org/officeDocument/2006/relationships/hyperlink" Target="https://claude.ai/code/artifact/db82fc95-4c62-4b83-b22c-e7cee86bc870" TargetMode="External" Id="rId13" /><Relationship Type="http://schemas.openxmlformats.org/officeDocument/2006/relationships/hyperlink" Target="https://claude.ai/code/artifact/32b51fff-748e-4fb3-a257-99531381bd35" TargetMode="External" Id="rId14" /><Relationship Type="http://schemas.openxmlformats.org/officeDocument/2006/relationships/hyperlink" Target="https://claude.ai/code/artifact/cb3eacf9-1c9d-4722-a6d0-a599ed2fe3f5" TargetMode="External" Id="rId15" /><Relationship Type="http://schemas.openxmlformats.org/officeDocument/2006/relationships/hyperlink" Target="https://claude.ai/code/artifact/65b43069-9f73-4f01-881f-70c31cd5cc30" TargetMode="External" Id="rId16" /><Relationship Type="http://schemas.openxmlformats.org/officeDocument/2006/relationships/hyperlink" Target="https://claude.ai/code/artifact/dec5629a-75b7-4a8d-ba24-a6e1b428c0d3" TargetMode="External" Id="rId17" /><Relationship Type="http://schemas.openxmlformats.org/officeDocument/2006/relationships/hyperlink" Target="https://claude.ai/code/artifact/0d2281f1-4a5f-4592-a013-1b5710b515b4" TargetMode="External" Id="rId18" /><Relationship Type="http://schemas.openxmlformats.org/officeDocument/2006/relationships/hyperlink" Target="https://claude.ai/code/artifact/1a259364-2cf9-4098-b864-bde6880ad6bf" TargetMode="External" Id="rId19" /><Relationship Type="http://schemas.openxmlformats.org/officeDocument/2006/relationships/hyperlink" Target="https://claude.ai/code/artifact/dec5629a-75b7-4a8d-ba24-a6e1b428c0d3" TargetMode="External" Id="rId20" /><Relationship Type="http://schemas.openxmlformats.org/officeDocument/2006/relationships/hyperlink" Target="https://claude.ai/code/artifact/0d2281f1-4a5f-4592-a013-1b5710b515b4" TargetMode="External" Id="rId21" /><Relationship Type="http://schemas.openxmlformats.org/officeDocument/2006/relationships/hyperlink" Target="https://claude.ai/code/artifact/39f0d878-53ee-4d73-9625-e9ce060b7aa8" TargetMode="External" Id="rId22" /><Relationship Type="http://schemas.openxmlformats.org/officeDocument/2006/relationships/hyperlink" Target="https://claude.ai/code/artifact/d5160792-9b05-48a1-aa52-e88cff874321" TargetMode="External" Id="rId2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30" customWidth="1" min="3" max="3"/>
    <col width="32" customWidth="1" min="4" max="4"/>
    <col width="13" customWidth="1" min="5" max="5"/>
    <col width="12" customWidth="1" min="6" max="6"/>
    <col width="14" customWidth="1" min="7" max="7"/>
    <col width="11" customWidth="1" min="8" max="8"/>
    <col width="9" customWidth="1" min="9" max="9"/>
    <col width="34" customWidth="1" min="10" max="10"/>
    <col width="52" customWidth="1" min="11" max="11"/>
    <col width="30" customWidth="1" min="12" max="12"/>
    <col width="30" customWidth="1" min="13" max="13"/>
    <col width="30" customWidth="1" min="14" max="14"/>
    <col width="10" customWidth="1" min="15" max="15"/>
    <col width="11" customWidth="1" min="16" max="16"/>
  </cols>
  <sheetData>
    <row r="1">
      <c r="A1" s="1" t="inlineStr">
        <is>
          <t>LP制作台帳</t>
        </is>
      </c>
    </row>
    <row r="2">
      <c r="A2" s="2" t="inlineStr">
        <is>
          <t>これまでに作った11本のLP。何を作ったか／どこまでできているか／公開後の本番URLを1枚で管理する。調査日 2026-09-03</t>
        </is>
      </c>
    </row>
    <row r="3">
      <c r="A3" s="3" t="inlineStr">
        <is>
          <t>黄色のJ列だけ記入してください。URLを入れると④本番公開と到達度が自動で変わります。</t>
        </is>
      </c>
    </row>
    <row r="5" ht="34" customHeight="1">
      <c r="A5" s="4" t="inlineStr">
        <is>
          <t>案件</t>
        </is>
      </c>
      <c r="B5" s="4" t="inlineStr">
        <is>
          <t>状態</t>
        </is>
      </c>
      <c r="C5" s="4" t="inlineStr">
        <is>
          <t>LP名</t>
        </is>
      </c>
      <c r="D5" s="4" t="inlineStr">
        <is>
          <t>デザインの方向</t>
        </is>
      </c>
      <c r="E5" s="4" t="inlineStr">
        <is>
          <t>①原稿・デザイン</t>
        </is>
      </c>
      <c r="F5" s="4" t="inlineStr">
        <is>
          <t>②付随ページ</t>
        </is>
      </c>
      <c r="G5" s="4" t="inlineStr">
        <is>
          <t>③問い合わせ導線</t>
        </is>
      </c>
      <c r="H5" s="4" t="inlineStr">
        <is>
          <t>④本番公開</t>
        </is>
      </c>
      <c r="I5" s="4" t="inlineStr">
        <is>
          <t>到達度</t>
        </is>
      </c>
      <c r="J5" s="4" t="inlineStr">
        <is>
          <t>本番URL（記入欄）</t>
        </is>
      </c>
      <c r="K5" s="4" t="inlineStr">
        <is>
          <t>残っていること</t>
        </is>
      </c>
      <c r="L5" s="4" t="inlineStr">
        <is>
          <t>資料請求ページ</t>
        </is>
      </c>
      <c r="M5" s="4" t="inlineStr">
        <is>
          <t>会社概要ページ</t>
        </is>
      </c>
      <c r="N5" s="4" t="inlineStr">
        <is>
          <t>LPプレビュー</t>
        </is>
      </c>
      <c r="O5" s="4" t="inlineStr">
        <is>
          <t>ID</t>
        </is>
      </c>
      <c r="P5" s="4" t="inlineStr">
        <is>
          <t>更新日</t>
        </is>
      </c>
    </row>
    <row r="6" ht="46" customHeight="1">
      <c r="A6" s="5" t="inlineStr">
        <is>
          <t>REALIZE CLUB（法人向け）</t>
        </is>
      </c>
      <c r="B6" s="6" t="inlineStr">
        <is>
          <t>現行</t>
        </is>
      </c>
      <c r="C6" s="5" t="inlineStr">
        <is>
          <t>会社が、社員の人生を守る時代へ。</t>
        </is>
      </c>
      <c r="D6" s="5" t="inlineStr">
        <is>
          <t>深緑 × 和モダン／昭和と令和の対比</t>
        </is>
      </c>
      <c r="E6" s="7" t="inlineStr">
        <is>
          <t>○</t>
        </is>
      </c>
      <c r="F6" s="7" t="inlineStr">
        <is>
          <t>○</t>
        </is>
      </c>
      <c r="G6" s="7" t="inlineStr">
        <is>
          <t>△</t>
        </is>
      </c>
      <c r="H6" s="7">
        <f>IF(J6="","×","○")</f>
        <v/>
      </c>
      <c r="I6" s="8">
        <f>COUNTIF(E6:H6,"○")+COUNTIF(E6:H6,"△")</f>
        <v/>
      </c>
      <c r="J6" s="9" t="n"/>
      <c r="K6" s="5" t="inlineStr">
        <is>
          <t>送信ボタンがメーラーを開くだけ（info@realize-os.co.jp 宛）。受付フォームの実装が必要／会社概要ページが未作成／本番ドメインへの公開</t>
        </is>
      </c>
      <c r="L6" s="10" t="inlineStr">
        <is>
          <t>資料請求を開く</t>
        </is>
      </c>
      <c r="M6" s="11" t="inlineStr">
        <is>
          <t>未作成</t>
        </is>
      </c>
      <c r="N6" s="10" t="inlineStr">
        <is>
          <t>LPを開く</t>
        </is>
      </c>
      <c r="O6" s="12" t="inlineStr">
        <is>
          <t>08b479a1</t>
        </is>
      </c>
      <c r="P6" s="7" t="inlineStr">
        <is>
          <t>2026-09-03</t>
        </is>
      </c>
    </row>
    <row r="7" ht="46" customHeight="1">
      <c r="A7" s="13" t="inlineStr">
        <is>
          <t>REALIZE CLUB（法人向け）</t>
        </is>
      </c>
      <c r="B7" s="14" t="inlineStr">
        <is>
          <t>別案</t>
        </is>
      </c>
      <c r="C7" s="13" t="inlineStr">
        <is>
          <t>会社が社員の人生を支える時代へ</t>
        </is>
      </c>
      <c r="D7" s="13" t="inlineStr">
        <is>
          <t>星空タウン／クリーム × 濃紺のイラスト</t>
        </is>
      </c>
      <c r="E7" s="15" t="inlineStr">
        <is>
          <t>○</t>
        </is>
      </c>
      <c r="F7" s="15" t="inlineStr">
        <is>
          <t>○</t>
        </is>
      </c>
      <c r="G7" s="15" t="inlineStr">
        <is>
          <t>△</t>
        </is>
      </c>
      <c r="H7" s="15">
        <f>IF(J7="","×","○")</f>
        <v/>
      </c>
      <c r="I7" s="16">
        <f>COUNTIF(E7:H7,"○")+COUNTIF(E7:H7,"△")</f>
        <v/>
      </c>
      <c r="J7" s="9" t="n"/>
      <c r="K7" s="13" t="inlineStr">
        <is>
          <t>RC案で唯一3ページ揃い。採用するかの判断／送信はメーラー起動のみ</t>
        </is>
      </c>
      <c r="L7" s="17" t="inlineStr">
        <is>
          <t>資料請求を開く</t>
        </is>
      </c>
      <c r="M7" s="17" t="inlineStr">
        <is>
          <t>会社概要を開く</t>
        </is>
      </c>
      <c r="N7" s="17" t="inlineStr">
        <is>
          <t>LPを開く</t>
        </is>
      </c>
      <c r="O7" s="18" t="inlineStr">
        <is>
          <t>7355f424</t>
        </is>
      </c>
      <c r="P7" s="15" t="inlineStr">
        <is>
          <t>2026-08-31</t>
        </is>
      </c>
    </row>
    <row r="8" ht="46" customHeight="1">
      <c r="A8" s="5" t="inlineStr">
        <is>
          <t>REALIZE CLUB（法人向け）</t>
        </is>
      </c>
      <c r="B8" s="19" t="inlineStr">
        <is>
          <t>別案</t>
        </is>
      </c>
      <c r="C8" s="5" t="inlineStr">
        <is>
          <t>困る前に、灯す。</t>
        </is>
      </c>
      <c r="D8" s="5" t="inlineStr">
        <is>
          <t>漆黒 × 炎のグラデーション</t>
        </is>
      </c>
      <c r="E8" s="7" t="inlineStr">
        <is>
          <t>○</t>
        </is>
      </c>
      <c r="F8" s="7" t="inlineStr">
        <is>
          <t>△</t>
        </is>
      </c>
      <c r="G8" s="7" t="inlineStr">
        <is>
          <t>×</t>
        </is>
      </c>
      <c r="H8" s="7">
        <f>IF(J8="","×","○")</f>
        <v/>
      </c>
      <c r="I8" s="8">
        <f>COUNTIF(E8:H8,"○")+COUNTIF(E8:H8,"△")</f>
        <v/>
      </c>
      <c r="J8" s="9" t="n"/>
      <c r="K8" s="5" t="inlineStr">
        <is>
          <t>kaisha.html / shiryou-realize.html / sodan.html への相対リンクが残り、単体では飛べない／会社概要ページの作成</t>
        </is>
      </c>
      <c r="L8" s="11" t="inlineStr">
        <is>
          <t>（同ファイル内）</t>
        </is>
      </c>
      <c r="M8" s="11" t="inlineStr">
        <is>
          <t>未作成</t>
        </is>
      </c>
      <c r="N8" s="10" t="inlineStr">
        <is>
          <t>LPを開く</t>
        </is>
      </c>
      <c r="O8" s="12" t="inlineStr">
        <is>
          <t>ded9a489</t>
        </is>
      </c>
      <c r="P8" s="7" t="inlineStr">
        <is>
          <t>2026-08-31</t>
        </is>
      </c>
    </row>
    <row r="9" ht="46" customHeight="1">
      <c r="A9" s="13" t="inlineStr">
        <is>
          <t>REALIZE CLUB（法人向け）</t>
        </is>
      </c>
      <c r="B9" s="14" t="inlineStr">
        <is>
          <t>別案</t>
        </is>
      </c>
      <c r="C9" s="13" t="inlineStr">
        <is>
          <t>その安心、今がお得。</t>
        </is>
      </c>
      <c r="D9" s="13" t="inlineStr">
        <is>
          <t>スーパーの特売ポップ／白地に赤と黄</t>
        </is>
      </c>
      <c r="E9" s="15" t="inlineStr">
        <is>
          <t>○</t>
        </is>
      </c>
      <c r="F9" s="15" t="inlineStr">
        <is>
          <t>△</t>
        </is>
      </c>
      <c r="G9" s="15" t="inlineStr">
        <is>
          <t>×</t>
        </is>
      </c>
      <c r="H9" s="15">
        <f>IF(J9="","×","○")</f>
        <v/>
      </c>
      <c r="I9" s="16">
        <f>COUNTIF(E9:H9,"○")+COUNTIF(E9:H9,"△")</f>
        <v/>
      </c>
      <c r="J9" s="9" t="n"/>
      <c r="K9" s="13" t="inlineStr">
        <is>
          <t>リンクがすべてページ内アンカー。外部への導線が1本もない／会社概要ページ、送信先の設定</t>
        </is>
      </c>
      <c r="L9" s="20" t="inlineStr">
        <is>
          <t>（同ページ内フォーム）</t>
        </is>
      </c>
      <c r="M9" s="20" t="inlineStr">
        <is>
          <t>未作成</t>
        </is>
      </c>
      <c r="N9" s="17" t="inlineStr">
        <is>
          <t>LPを開く</t>
        </is>
      </c>
      <c r="O9" s="18" t="inlineStr">
        <is>
          <t>4ce48691</t>
        </is>
      </c>
      <c r="P9" s="15" t="inlineStr">
        <is>
          <t>2026-08-31</t>
        </is>
      </c>
    </row>
    <row r="10" ht="46" customHeight="1">
      <c r="A10" s="5" t="inlineStr">
        <is>
          <t>REALIZE CLUB（法人向け）</t>
        </is>
      </c>
      <c r="B10" s="19" t="inlineStr">
        <is>
          <t>別案</t>
        </is>
      </c>
      <c r="C10" s="5" t="inlineStr">
        <is>
          <t>社員が、溶けていく前に。</t>
        </is>
      </c>
      <c r="D10" s="5" t="inlineStr">
        <is>
          <t>アイスのメタファー／手描き風</t>
        </is>
      </c>
      <c r="E10" s="7" t="inlineStr">
        <is>
          <t>○</t>
        </is>
      </c>
      <c r="F10" s="7" t="inlineStr">
        <is>
          <t>△</t>
        </is>
      </c>
      <c r="G10" s="7" t="inlineStr">
        <is>
          <t>×</t>
        </is>
      </c>
      <c r="H10" s="7">
        <f>IF(J10="","×","○")</f>
        <v/>
      </c>
      <c r="I10" s="8">
        <f>COUNTIF(E10:H10,"○")+COUNTIF(E10:H10,"△")</f>
        <v/>
      </c>
      <c r="J10" s="9" t="n"/>
      <c r="K10" s="5" t="inlineStr">
        <is>
          <t>会社概要ページが未作成／送信はメーラー起動のみ</t>
        </is>
      </c>
      <c r="L10" s="10" t="inlineStr">
        <is>
          <t>資料請求を開く</t>
        </is>
      </c>
      <c r="M10" s="11" t="inlineStr">
        <is>
          <t>未作成</t>
        </is>
      </c>
      <c r="N10" s="10" t="inlineStr">
        <is>
          <t>LPを開く</t>
        </is>
      </c>
      <c r="O10" s="12" t="inlineStr">
        <is>
          <t>b0f16478</t>
        </is>
      </c>
      <c r="P10" s="7" t="inlineStr">
        <is>
          <t>2026-08-28</t>
        </is>
      </c>
    </row>
    <row r="11" ht="46" customHeight="1">
      <c r="A11" s="13" t="inlineStr">
        <is>
          <t>LIFE MAKE PARTNERS（加盟店募集）</t>
        </is>
      </c>
      <c r="B11" s="21" t="inlineStr">
        <is>
          <t>現行</t>
        </is>
      </c>
      <c r="C11" s="13" t="inlineStr">
        <is>
          <t>家より先に、人生の話を。</t>
        </is>
      </c>
      <c r="D11" s="13" t="inlineStr">
        <is>
          <t>韓国料理店の看板／木の壁 × 生成りの横断幕</t>
        </is>
      </c>
      <c r="E11" s="15" t="inlineStr">
        <is>
          <t>○</t>
        </is>
      </c>
      <c r="F11" s="15" t="inlineStr">
        <is>
          <t>○</t>
        </is>
      </c>
      <c r="G11" s="15" t="inlineStr">
        <is>
          <t>○</t>
        </is>
      </c>
      <c r="H11" s="15">
        <f>IF(J11="","×","○")</f>
        <v/>
      </c>
      <c r="I11" s="16">
        <f>COUNTIF(E11:H11,"○")+COUNTIF(E11:H11,"△")</f>
        <v/>
      </c>
      <c r="J11" s="9" t="n"/>
      <c r="K11" s="13" t="inlineStr">
        <is>
          <t>本番ドメインへの公開だけが残り。問い合わせはLINE公式（lin.ee/WHYApuM）に集約済み</t>
        </is>
      </c>
      <c r="L11" s="17" t="inlineStr">
        <is>
          <t>資料請求を開く</t>
        </is>
      </c>
      <c r="M11" s="17" t="inlineStr">
        <is>
          <t>会社概要を開く</t>
        </is>
      </c>
      <c r="N11" s="17" t="inlineStr">
        <is>
          <t>LPを開く</t>
        </is>
      </c>
      <c r="O11" s="18" t="inlineStr">
        <is>
          <t>7f212d2f</t>
        </is>
      </c>
      <c r="P11" s="15" t="inlineStr">
        <is>
          <t>2026-09-03</t>
        </is>
      </c>
    </row>
    <row r="12" ht="46" customHeight="1">
      <c r="A12" s="5" t="inlineStr">
        <is>
          <t>LIFE MAKE PARTNERS（加盟店募集）</t>
        </is>
      </c>
      <c r="B12" s="19" t="inlineStr">
        <is>
          <t>別案</t>
        </is>
      </c>
      <c r="C12" s="5" t="inlineStr">
        <is>
          <t>いつも同じ集客ばっかやってんじゃねぇ！</t>
        </is>
      </c>
      <c r="D12" s="5" t="inlineStr">
        <is>
          <t>喝・挑発ポスター／赤と黄の斜めストライプ</t>
        </is>
      </c>
      <c r="E12" s="7" t="inlineStr">
        <is>
          <t>○</t>
        </is>
      </c>
      <c r="F12" s="7" t="inlineStr">
        <is>
          <t>△</t>
        </is>
      </c>
      <c r="G12" s="7" t="inlineStr">
        <is>
          <t>×</t>
        </is>
      </c>
      <c r="H12" s="7">
        <f>IF(J12="","×","○")</f>
        <v/>
      </c>
      <c r="I12" s="8">
        <f>COUNTIF(E12:H12,"○")+COUNTIF(E12:H12,"△")</f>
        <v/>
      </c>
      <c r="J12" s="9" t="n"/>
      <c r="K12" s="5" t="inlineStr">
        <is>
          <t>kaisha-katsu.html / shiryou-katsu.html への相対リンクが残り飛べない／行き先が「#」のままのボタンが2つ</t>
        </is>
      </c>
      <c r="L12" s="11" t="inlineStr">
        <is>
          <t>（同ページ内フォーム）</t>
        </is>
      </c>
      <c r="M12" s="11" t="inlineStr">
        <is>
          <t>未作成</t>
        </is>
      </c>
      <c r="N12" s="10" t="inlineStr">
        <is>
          <t>LPを開く</t>
        </is>
      </c>
      <c r="O12" s="12" t="inlineStr">
        <is>
          <t>db82fc95</t>
        </is>
      </c>
      <c r="P12" s="7" t="inlineStr">
        <is>
          <t>2026-08-28</t>
        </is>
      </c>
    </row>
    <row r="13" ht="46" customHeight="1">
      <c r="A13" s="13" t="inlineStr">
        <is>
          <t>LIFE MAKE PARTNERS（加盟店募集）</t>
        </is>
      </c>
      <c r="B13" s="14" t="inlineStr">
        <is>
          <t>別案</t>
        </is>
      </c>
      <c r="C13" s="13" t="inlineStr">
        <is>
          <t>加盟資格は、人生への愛。ただそれだけ。</t>
        </is>
      </c>
      <c r="D13" s="13" t="inlineStr">
        <is>
          <t>星空タウン／RC星空案と同じ世界観</t>
        </is>
      </c>
      <c r="E13" s="15" t="inlineStr">
        <is>
          <t>○</t>
        </is>
      </c>
      <c r="F13" s="15" t="inlineStr">
        <is>
          <t>○</t>
        </is>
      </c>
      <c r="G13" s="15" t="inlineStr">
        <is>
          <t>△</t>
        </is>
      </c>
      <c r="H13" s="15">
        <f>IF(J13="","×","○")</f>
        <v/>
      </c>
      <c r="I13" s="16">
        <f>COUNTIF(E13:H13,"○")+COUNTIF(E13:H13,"△")</f>
        <v/>
      </c>
      <c r="J13" s="9" t="n"/>
      <c r="K13" s="13" t="inlineStr">
        <is>
          <t>行き先が「#」のままのボタンが2つ／現行案との統廃合の判断</t>
        </is>
      </c>
      <c r="L13" s="17" t="inlineStr">
        <is>
          <t>資料請求を開く</t>
        </is>
      </c>
      <c r="M13" s="17" t="inlineStr">
        <is>
          <t>会社概要を開く</t>
        </is>
      </c>
      <c r="N13" s="17" t="inlineStr">
        <is>
          <t>LPを開く</t>
        </is>
      </c>
      <c r="O13" s="18" t="inlineStr">
        <is>
          <t>65b43069</t>
        </is>
      </c>
      <c r="P13" s="15" t="inlineStr">
        <is>
          <t>2026-08-24</t>
        </is>
      </c>
    </row>
    <row r="14" ht="46" customHeight="1">
      <c r="A14" s="5" t="inlineStr">
        <is>
          <t>まちの相談窓口</t>
        </is>
      </c>
      <c r="B14" s="6" t="inlineStr">
        <is>
          <t>現行</t>
        </is>
      </c>
      <c r="C14" s="5" t="inlineStr">
        <is>
          <t>不動産屋が、まちの相談窓口になる。</t>
        </is>
      </c>
      <c r="D14" s="5" t="inlineStr">
        <is>
          <t>銭湯ポスター（リソグラフ2色刷り）／LINE誘導版</t>
        </is>
      </c>
      <c r="E14" s="7" t="inlineStr">
        <is>
          <t>○</t>
        </is>
      </c>
      <c r="F14" s="7" t="inlineStr">
        <is>
          <t>○</t>
        </is>
      </c>
      <c r="G14" s="7" t="inlineStr">
        <is>
          <t>△</t>
        </is>
      </c>
      <c r="H14" s="7">
        <f>IF(J14="","×","○")</f>
        <v/>
      </c>
      <c r="I14" s="8">
        <f>COUNTIF(E14:H14,"○")+COUNTIF(E14:H14,"△")</f>
        <v/>
      </c>
      <c r="J14" s="9" t="n"/>
      <c r="K14" s="5" t="inlineStr">
        <is>
          <t>行き先が「#」のままのリンクが2つ残っている／本番ドメインへの公開</t>
        </is>
      </c>
      <c r="L14" s="10" t="inlineStr">
        <is>
          <t>資料請求を開く</t>
        </is>
      </c>
      <c r="M14" s="10" t="inlineStr">
        <is>
          <t>会社概要を開く</t>
        </is>
      </c>
      <c r="N14" s="10" t="inlineStr">
        <is>
          <t>LPを開く</t>
        </is>
      </c>
      <c r="O14" s="12" t="inlineStr">
        <is>
          <t>1a259364</t>
        </is>
      </c>
      <c r="P14" s="7" t="inlineStr">
        <is>
          <t>2026-09-03</t>
        </is>
      </c>
    </row>
    <row r="15" ht="46" customHeight="1">
      <c r="A15" s="13" t="inlineStr">
        <is>
          <t>まちの相談窓口</t>
        </is>
      </c>
      <c r="B15" s="22" t="inlineStr">
        <is>
          <t>旧版</t>
        </is>
      </c>
      <c r="C15" s="13" t="inlineStr">
        <is>
          <t>まちの相談窓口（フォーム版）</t>
        </is>
      </c>
      <c r="D15" s="13" t="inlineStr">
        <is>
          <t>銭湯ポスター／申込フォーム内蔵</t>
        </is>
      </c>
      <c r="E15" s="15" t="inlineStr">
        <is>
          <t>○</t>
        </is>
      </c>
      <c r="F15" s="15" t="inlineStr">
        <is>
          <t>○</t>
        </is>
      </c>
      <c r="G15" s="15" t="inlineStr">
        <is>
          <t>△</t>
        </is>
      </c>
      <c r="H15" s="15">
        <f>IF(J15="","×","○")</f>
        <v/>
      </c>
      <c r="I15" s="16">
        <f>COUNTIF(E15:H15,"○")+COUNTIF(E15:H15,"△")</f>
        <v/>
      </c>
      <c r="J15" s="9" t="n"/>
      <c r="K15" s="13" t="inlineStr">
        <is>
          <t>現行のLINE誘導版に置き換わっている。残すか消すかの判断</t>
        </is>
      </c>
      <c r="L15" s="17" t="inlineStr">
        <is>
          <t>資料請求を開く</t>
        </is>
      </c>
      <c r="M15" s="17" t="inlineStr">
        <is>
          <t>会社概要を開く</t>
        </is>
      </c>
      <c r="N15" s="17" t="inlineStr">
        <is>
          <t>LPを開く</t>
        </is>
      </c>
      <c r="O15" s="18" t="inlineStr">
        <is>
          <t>39f0d878</t>
        </is>
      </c>
      <c r="P15" s="15" t="inlineStr">
        <is>
          <t>2026-08-20</t>
        </is>
      </c>
    </row>
    <row r="16" ht="46" customHeight="1">
      <c r="A16" s="5" t="inlineStr">
        <is>
          <t>不動産FC加盟</t>
        </is>
      </c>
      <c r="B16" s="23" t="inlineStr">
        <is>
          <t>単発</t>
        </is>
      </c>
      <c r="C16" s="5" t="inlineStr">
        <is>
          <t>収益が積み上がる不動産FC加盟へ。</t>
        </is>
      </c>
      <c r="D16" s="5" t="inlineStr">
        <is>
          <t>ボクシング／黒地 × 赤とゴールド</t>
        </is>
      </c>
      <c r="E16" s="7" t="inlineStr">
        <is>
          <t>○</t>
        </is>
      </c>
      <c r="F16" s="7" t="inlineStr">
        <is>
          <t>×</t>
        </is>
      </c>
      <c r="G16" s="7" t="inlineStr">
        <is>
          <t>×</t>
        </is>
      </c>
      <c r="H16" s="7">
        <f>IF(J16="","×","○")</f>
        <v/>
      </c>
      <c r="I16" s="8">
        <f>COUNTIF(E16:H16,"○")+COUNTIF(E16:H16,"△")</f>
        <v/>
      </c>
      <c r="J16" s="9" t="n"/>
      <c r="K16" s="5" t="inlineStr">
        <is>
          <t>ページのタイトルタグが空。共有すると名前なしで出る／資料請求・会社概要ページ、送信先の設定</t>
        </is>
      </c>
      <c r="L16" s="11" t="inlineStr">
        <is>
          <t>（同ページ内フォーム）</t>
        </is>
      </c>
      <c r="M16" s="11" t="inlineStr">
        <is>
          <t>未作成</t>
        </is>
      </c>
      <c r="N16" s="10" t="inlineStr">
        <is>
          <t>LPを開く</t>
        </is>
      </c>
      <c r="O16" s="12" t="inlineStr">
        <is>
          <t>d5160792</t>
        </is>
      </c>
      <c r="P16" s="7" t="inlineStr">
        <is>
          <t>2026-08-19</t>
        </is>
      </c>
    </row>
    <row r="17">
      <c r="D17" s="24" t="inlineStr">
        <is>
          <t>合計 / 平均</t>
        </is>
      </c>
      <c r="E17" s="25">
        <f>COUNTIF(E6:E16,"○")</f>
        <v/>
      </c>
      <c r="F17" s="25">
        <f>COUNTIF(F6:F16,"○")</f>
        <v/>
      </c>
      <c r="G17" s="25">
        <f>COUNTIF(G6:G16,"○")</f>
        <v/>
      </c>
      <c r="H17" s="25">
        <f>COUNTIF(H6:H16,"○")</f>
        <v/>
      </c>
      <c r="I17" s="26">
        <f>AVERAGE(I6:I16)</f>
        <v/>
      </c>
      <c r="J17" s="27">
        <f>COUNTA(J6:J16)&amp;" 本 登録済み"</f>
        <v/>
      </c>
    </row>
  </sheetData>
  <autoFilter ref="A5:P16"/>
  <conditionalFormatting sqref="E6:H16">
    <cfRule type="cellIs" priority="1" operator="equal" dxfId="0">
      <formula>"×"</formula>
    </cfRule>
    <cfRule type="cellIs" priority="2" operator="equal" dxfId="1">
      <formula>"△"</formula>
    </cfRule>
    <cfRule type="cellIs" priority="3" operator="equal" dxfId="2">
      <formula>"○"</formula>
    </cfRule>
  </conditionalFormatting>
  <dataValidations count="1">
    <dataValidation sqref="E6:G16" showDropDown="0" showInputMessage="0" showErrorMessage="0" allowBlank="0" type="list">
      <formula1>"○,△,×"</formula1>
    </dataValidation>
  </dataValidations>
  <hyperlinks>
    <hyperlink xmlns:r="http://schemas.openxmlformats.org/officeDocument/2006/relationships" ref="L6" r:id="rId1"/>
    <hyperlink xmlns:r="http://schemas.openxmlformats.org/officeDocument/2006/relationships" ref="N6" r:id="rId2"/>
    <hyperlink xmlns:r="http://schemas.openxmlformats.org/officeDocument/2006/relationships" ref="L7" r:id="rId3"/>
    <hyperlink xmlns:r="http://schemas.openxmlformats.org/officeDocument/2006/relationships" ref="M7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L10" r:id="rId8"/>
    <hyperlink xmlns:r="http://schemas.openxmlformats.org/officeDocument/2006/relationships" ref="N10" r:id="rId9"/>
    <hyperlink xmlns:r="http://schemas.openxmlformats.org/officeDocument/2006/relationships" ref="L11" r:id="rId10"/>
    <hyperlink xmlns:r="http://schemas.openxmlformats.org/officeDocument/2006/relationships" ref="M11" r:id="rId11"/>
    <hyperlink xmlns:r="http://schemas.openxmlformats.org/officeDocument/2006/relationships" ref="N11" r:id="rId12"/>
    <hyperlink xmlns:r="http://schemas.openxmlformats.org/officeDocument/2006/relationships" ref="N12" r:id="rId13"/>
    <hyperlink xmlns:r="http://schemas.openxmlformats.org/officeDocument/2006/relationships" ref="L13" r:id="rId14"/>
    <hyperlink xmlns:r="http://schemas.openxmlformats.org/officeDocument/2006/relationships" ref="M13" r:id="rId15"/>
    <hyperlink xmlns:r="http://schemas.openxmlformats.org/officeDocument/2006/relationships" ref="N13" r:id="rId16"/>
    <hyperlink xmlns:r="http://schemas.openxmlformats.org/officeDocument/2006/relationships" ref="L14" r:id="rId17"/>
    <hyperlink xmlns:r="http://schemas.openxmlformats.org/officeDocument/2006/relationships" ref="M14" r:id="rId18"/>
    <hyperlink xmlns:r="http://schemas.openxmlformats.org/officeDocument/2006/relationships" ref="N14" r:id="rId19"/>
    <hyperlink xmlns:r="http://schemas.openxmlformats.org/officeDocument/2006/relationships" ref="L15" r:id="rId20"/>
    <hyperlink xmlns:r="http://schemas.openxmlformats.org/officeDocument/2006/relationships" ref="M15" r:id="rId21"/>
    <hyperlink xmlns:r="http://schemas.openxmlformats.org/officeDocument/2006/relationships" ref="N15" r:id="rId22"/>
    <hyperlink xmlns:r="http://schemas.openxmlformats.org/officeDocument/2006/relationships" ref="N16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28" t="inlineStr">
        <is>
          <t>凡例と、この表の作り方</t>
        </is>
      </c>
    </row>
    <row r="3">
      <c r="A3" s="29" t="inlineStr">
        <is>
          <t>「どこまで」の4段</t>
        </is>
      </c>
    </row>
    <row r="4" ht="34" customHeight="1">
      <c r="A4" s="30" t="inlineStr">
        <is>
          <t>①原稿・デザイン</t>
        </is>
      </c>
      <c r="B4" s="31" t="inlineStr">
        <is>
          <t>本編の文章とデザインが最後まで通っている</t>
        </is>
      </c>
    </row>
    <row r="5" ht="34" customHeight="1">
      <c r="A5" s="30" t="inlineStr">
        <is>
          <t>②付随ページ</t>
        </is>
      </c>
      <c r="B5" s="31" t="inlineStr">
        <is>
          <t>資料請求・会社概要など、必要な付随ページが揃っている</t>
        </is>
      </c>
    </row>
    <row r="6" ht="34" customHeight="1">
      <c r="A6" s="30" t="inlineStr">
        <is>
          <t>③問い合わせ導線</t>
        </is>
      </c>
      <c r="B6" s="31" t="inlineStr">
        <is>
          <t>ボタンの行き先が実在し、問い合わせが届く先につながっている</t>
        </is>
      </c>
    </row>
    <row r="7" ht="34" customHeight="1">
      <c r="A7" s="30" t="inlineStr">
        <is>
          <t>④本番公開</t>
        </is>
      </c>
      <c r="B7" s="31" t="inlineStr">
        <is>
          <t>独自ドメインで公開され、J列に本番URLが入っている（自動判定）</t>
        </is>
      </c>
    </row>
    <row r="9">
      <c r="A9" s="29" t="inlineStr">
        <is>
          <t>記号</t>
        </is>
      </c>
    </row>
    <row r="10" ht="34" customHeight="1">
      <c r="A10" s="30" t="inlineStr">
        <is>
          <t>○</t>
        </is>
      </c>
      <c r="B10" s="31" t="inlineStr">
        <is>
          <t>できている</t>
        </is>
      </c>
    </row>
    <row r="11" ht="34" customHeight="1">
      <c r="A11" s="30" t="inlineStr">
        <is>
          <t>△</t>
        </is>
      </c>
      <c r="B11" s="31" t="inlineStr">
        <is>
          <t>仮づけ。メーラーを開くだけ、または行き先が「#」のまま</t>
        </is>
      </c>
    </row>
    <row r="12" ht="34" customHeight="1">
      <c r="A12" s="30" t="inlineStr">
        <is>
          <t>×</t>
        </is>
      </c>
      <c r="B12" s="31" t="inlineStr">
        <is>
          <t>手つかず／ページが存在しない</t>
        </is>
      </c>
    </row>
    <row r="14">
      <c r="A14" s="29" t="inlineStr">
        <is>
          <t>状態</t>
        </is>
      </c>
    </row>
    <row r="15" ht="34" customHeight="1">
      <c r="A15" s="30" t="inlineStr">
        <is>
          <t>現行</t>
        </is>
      </c>
      <c r="B15" s="31" t="inlineStr">
        <is>
          <t>その案件で採用している案</t>
        </is>
      </c>
    </row>
    <row r="16" ht="34" customHeight="1">
      <c r="A16" s="30" t="inlineStr">
        <is>
          <t>別案</t>
        </is>
      </c>
      <c r="B16" s="31" t="inlineStr">
        <is>
          <t>同じ商材でデザインを変えて作った比較用の案</t>
        </is>
      </c>
    </row>
    <row r="17" ht="34" customHeight="1">
      <c r="A17" s="30" t="inlineStr">
        <is>
          <t>旧版</t>
        </is>
      </c>
      <c r="B17" s="31" t="inlineStr">
        <is>
          <t>新しい版に置き換わったもの</t>
        </is>
      </c>
    </row>
    <row r="18" ht="34" customHeight="1">
      <c r="A18" s="30" t="inlineStr">
        <is>
          <t>単発</t>
        </is>
      </c>
      <c r="B18" s="31" t="inlineStr">
        <is>
          <t>他と系統がつながっていない単発のLP</t>
        </is>
      </c>
    </row>
    <row r="20">
      <c r="A20" s="29" t="inlineStr">
        <is>
          <t>使い方</t>
        </is>
      </c>
    </row>
    <row r="21" ht="34" customHeight="1">
      <c r="A21" s="30" t="inlineStr">
        <is>
          <t>J列（黄色）</t>
        </is>
      </c>
      <c r="B21" s="31" t="inlineStr">
        <is>
          <t>公開した本番LPのURLを貼ります。ここだけが記入欄です。入力すると④本番公開が○に変わり、到達度と合計行が自動で更新されます。</t>
        </is>
      </c>
    </row>
    <row r="22" ht="34" customHeight="1">
      <c r="A22" s="30" t="inlineStr">
        <is>
          <t>到達度</t>
        </is>
      </c>
      <c r="B22" s="31" t="inlineStr">
        <is>
          <t>①〜④のうち、○か△が付いている段の数を数えています。△は「到達しているが仮づけ」なので段数には入ります。数式なので手で書き換えないでください。</t>
        </is>
      </c>
    </row>
    <row r="23" ht="34" customHeight="1">
      <c r="A23" s="30" t="inlineStr">
        <is>
          <t>E〜G列</t>
        </is>
      </c>
      <c r="B23" s="31" t="inlineStr">
        <is>
          <t>作業が進んだら ○ △ × を選び直せます（プルダウン）。</t>
        </is>
      </c>
    </row>
    <row r="25">
      <c r="A25" s="29" t="inlineStr">
        <is>
          <t>この表の作り方</t>
        </is>
      </c>
    </row>
    <row r="26" ht="34" customHeight="1">
      <c r="A26" s="30" t="inlineStr">
        <is>
          <t>調査範囲</t>
        </is>
      </c>
      <c r="B26" s="31" t="inlineStr">
        <is>
          <t>公開済みアーティファクト43件のうち、LPに該当する22ページ（LP本編11本＋付随ページ11本）。</t>
        </is>
      </c>
    </row>
    <row r="27" ht="34" customHeight="1">
      <c r="A27" s="30" t="inlineStr">
        <is>
          <t>確認したこと</t>
        </is>
      </c>
      <c r="B27" s="31" t="inlineStr">
        <is>
          <t>1ページずつHTMLを読み、ボタンの行き先・フォームの送信方法・付随ページの有無を実物で確認しました。「残っていること」は確認できた事実だけを書いています。</t>
        </is>
      </c>
    </row>
    <row r="28" ht="34" customHeight="1">
      <c r="A28" s="30" t="inlineStr">
        <is>
          <t>未確認</t>
        </is>
      </c>
      <c r="B28" s="31" t="inlineStr">
        <is>
          <t>付随ページ4本（RC星空案の会社概要、RCアイス案の資料請求、LMP星空案の資料請求と会社概要）は、親LPからのリンクで存在を確認しただけで、中身は個別に開いていません。</t>
        </is>
      </c>
    </row>
    <row r="29" ht="34" customHeight="1">
      <c r="A29" s="30" t="inlineStr">
        <is>
          <t>調査日</t>
        </is>
      </c>
      <c r="B29" s="31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2026-09-03T05:44:07Z</dcterms:created>
  <dcterms:modified xsi:type="dcterms:W3CDTF">2026-09-03T05:44:07Z</dcterms:modified>
</cp:coreProperties>
</file>